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2400878\Downloads\愛地雅\Power bi\去識別化版本\資料源\"/>
    </mc:Choice>
  </mc:AlternateContent>
  <xr:revisionPtr revIDLastSave="0" documentId="13_ncr:1_{C907A69E-3A85-4799-A0ED-3E8EA90F344A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工作表1" sheetId="1" r:id="rId1"/>
  </sheets>
  <definedNames>
    <definedName name="_xlnm._FilterDatabase" localSheetId="0" hidden="1">工作表1!$A$1:$R$82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2" i="1" l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<sst xmlns="http://schemas.openxmlformats.org/spreadsheetml/2006/main" count="180" uniqueCount="24">
  <si>
    <t>etl_updated_date</t>
  </si>
  <si>
    <t>factory</t>
  </si>
  <si>
    <t>year</t>
  </si>
  <si>
    <t>month</t>
  </si>
  <si>
    <t>cogs_amt</t>
    <phoneticPr fontId="1" type="noConversion"/>
  </si>
  <si>
    <t>currency</t>
    <phoneticPr fontId="1" type="noConversion"/>
  </si>
  <si>
    <t>exchange_rate</t>
    <phoneticPr fontId="1" type="noConversion"/>
  </si>
  <si>
    <t>net_revenue_amt</t>
    <phoneticPr fontId="1" type="noConversion"/>
  </si>
  <si>
    <t>operating_expense_amt</t>
    <phoneticPr fontId="1" type="noConversion"/>
  </si>
  <si>
    <t>current_liabilities_amt</t>
    <phoneticPr fontId="1" type="noConversion"/>
  </si>
  <si>
    <t>current_assets_amt</t>
    <phoneticPr fontId="1" type="noConversion"/>
  </si>
  <si>
    <t>TWD</t>
    <phoneticPr fontId="1" type="noConversion"/>
  </si>
  <si>
    <t>RMB</t>
    <phoneticPr fontId="1" type="noConversion"/>
  </si>
  <si>
    <t>rd_expense_amt</t>
  </si>
  <si>
    <t>admin_expense_amt</t>
    <phoneticPr fontId="1" type="noConversion"/>
  </si>
  <si>
    <t>selling_expense_amt</t>
    <phoneticPr fontId="1" type="noConversion"/>
  </si>
  <si>
    <t>day</t>
    <phoneticPr fontId="1" type="noConversion"/>
  </si>
  <si>
    <t>PLN</t>
    <phoneticPr fontId="1" type="noConversion"/>
  </si>
  <si>
    <t>unrealized_sales_profit</t>
    <phoneticPr fontId="1" type="noConversion"/>
  </si>
  <si>
    <t>operating_income_amt</t>
    <phoneticPr fontId="1" type="noConversion"/>
  </si>
  <si>
    <t>ecl_amt</t>
    <phoneticPr fontId="1" type="noConversion"/>
  </si>
  <si>
    <t>tw</t>
  </si>
  <si>
    <t>dg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</si>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</sst>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" fontId="2" fillId="0" borderId="0" xfId="0" applyNumberFormat="1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vertical="center" wrapText="1"/>
    </xf>
    <xf numFmtId="0" fontId="4" fillId="0" borderId="0" xfId="1" applyFont="1" applyFill="1">
      <alignment vertical="center"/>
    </xf>
    <xf numFmtId="0" fontId="4" fillId="0" borderId="0" xfId="1" applyFont="1" applyFill="1" applyAlignment="1">
      <alignment vertical="center" wrapText="1"/>
    </xf>
    <xf numFmtId="0" fontId="5" fillId="0" borderId="0" xfId="0" applyFont="1" applyFill="1">
      <alignment vertical="center"/>
    </xf>
    <xf numFmtId="14" fontId="2" fillId="0" borderId="0" xfId="0" applyNumberFormat="1" applyFont="1" applyFill="1">
      <alignment vertical="center"/>
    </xf>
    <xf numFmtId="0" fontId="2" fillId="0" borderId="0" xfId="0" applyFont="1" applyFill="1" applyAlignment="1">
      <alignment horizontal="right" vertical="center"/>
    </xf>
    <xf numFmtId="4" fontId="2" fillId="0" borderId="0" xfId="0" applyNumberFormat="1" applyFont="1" applyFill="1" applyAlignment="1">
      <alignment horizontal="right" vertical="center" wrapText="1"/>
    </xf>
  </cellXfs>
  <cellStyles count="2">
    <cellStyle name="一般" xfId="0" builtinId="0"/>
    <cellStyle name="中等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"/>
  <sheetViews>
    <sheetView tabSelected="1" zoomScale="85" zoomScaleNormal="85" workbookViewId="0">
      <pane ySplit="1" topLeftCell="A2" activePane="bottomLeft" state="frozen"/>
      <selection pane="bottomLeft" activeCell="B10" sqref="B10"/>
    </sheetView>
  </sheetViews>
  <sheetFormatPr defaultColWidth="9" defaultRowHeight="17" x14ac:dyDescent="0.4"/>
  <cols>
    <col min="1" max="1" width="16.453125" style="2" bestFit="1" customWidth="1"/>
    <col min="2" max="5" width="9" style="2"/>
    <col min="6" max="6" width="15.453125" style="2" bestFit="1" customWidth="1"/>
    <col min="7" max="7" width="10.453125" style="2" bestFit="1" customWidth="1"/>
    <col min="8" max="10" width="19.36328125" style="2" customWidth="1"/>
    <col min="11" max="11" width="18.90625" style="2" customWidth="1"/>
    <col min="12" max="12" width="14.90625" style="2" bestFit="1" customWidth="1"/>
    <col min="13" max="14" width="17.26953125" style="2" customWidth="1"/>
    <col min="15" max="15" width="19" style="2" customWidth="1"/>
    <col min="16" max="16" width="15.7265625" style="2" customWidth="1"/>
    <col min="17" max="17" width="8.36328125" style="2" bestFit="1" customWidth="1"/>
    <col min="18" max="18" width="12.26953125" style="2" customWidth="1"/>
    <col min="19" max="16384" width="9" style="2"/>
  </cols>
  <sheetData>
    <row r="1" spans="1:18" ht="3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16</v>
      </c>
      <c r="F1" s="2" t="s">
        <v>7</v>
      </c>
      <c r="G1" s="2" t="s">
        <v>4</v>
      </c>
      <c r="H1" s="3" t="s">
        <v>8</v>
      </c>
      <c r="I1" s="4" t="s">
        <v>18</v>
      </c>
      <c r="J1" s="5" t="s">
        <v>19</v>
      </c>
      <c r="K1" s="3" t="s">
        <v>15</v>
      </c>
      <c r="L1" s="6" t="s">
        <v>13</v>
      </c>
      <c r="M1" s="3" t="s">
        <v>14</v>
      </c>
      <c r="N1" s="5" t="s">
        <v>20</v>
      </c>
      <c r="O1" s="3" t="s">
        <v>9</v>
      </c>
      <c r="P1" s="3" t="s">
        <v>10</v>
      </c>
      <c r="Q1" s="3" t="s">
        <v>5</v>
      </c>
      <c r="R1" s="3" t="s">
        <v>6</v>
      </c>
    </row>
    <row r="2" spans="1:18" x14ac:dyDescent="0.4">
      <c r="A2" s="7">
        <v>45337</v>
      </c>
      <c r="B2" s="2" t="s">
        <v>21</v>
      </c>
      <c r="C2" s="2">
        <v>2024</v>
      </c>
      <c r="D2" s="2">
        <v>1</v>
      </c>
      <c r="E2" s="2">
        <v>15</v>
      </c>
      <c r="F2" s="8">
        <v>62325392</v>
      </c>
      <c r="G2" s="2">
        <v>59365259</v>
      </c>
      <c r="H2" s="2">
        <v>14667565</v>
      </c>
      <c r="I2" s="6">
        <v>1245001</v>
      </c>
      <c r="J2" s="2">
        <f>F2-G2-H2+I2</f>
        <v>-10462431</v>
      </c>
      <c r="K2" s="2">
        <v>3602498</v>
      </c>
      <c r="L2" s="2">
        <v>0</v>
      </c>
      <c r="M2" s="2">
        <v>6812114</v>
      </c>
      <c r="N2" s="2">
        <f t="shared" ref="N2:N65" si="0">H2-K2-M2</f>
        <v>4252953</v>
      </c>
      <c r="O2" s="2">
        <v>2072804343</v>
      </c>
      <c r="P2" s="2">
        <v>-1347928390</v>
      </c>
      <c r="Q2" s="2" t="s">
        <v>11</v>
      </c>
      <c r="R2" s="2">
        <v>1</v>
      </c>
    </row>
    <row r="3" spans="1:18" x14ac:dyDescent="0.4">
      <c r="A3" s="7">
        <v>45366</v>
      </c>
      <c r="B3" s="2" t="s">
        <v>21</v>
      </c>
      <c r="C3" s="2">
        <v>2024</v>
      </c>
      <c r="D3" s="2">
        <v>2</v>
      </c>
      <c r="E3" s="2">
        <v>15</v>
      </c>
      <c r="F3" s="8">
        <v>67076410</v>
      </c>
      <c r="G3" s="2">
        <v>66585003</v>
      </c>
      <c r="H3" s="2">
        <v>14701230</v>
      </c>
      <c r="I3" s="6">
        <v>1435114</v>
      </c>
      <c r="J3" s="2">
        <f t="shared" ref="J3:J13" si="1">F3-G3-H3+I3</f>
        <v>-12774709</v>
      </c>
      <c r="K3" s="2">
        <v>3609415</v>
      </c>
      <c r="L3" s="2">
        <v>0</v>
      </c>
      <c r="M3" s="2">
        <v>6788030</v>
      </c>
      <c r="N3" s="2">
        <f t="shared" si="0"/>
        <v>4303785</v>
      </c>
      <c r="O3" s="2">
        <v>1979629795</v>
      </c>
      <c r="P3" s="2">
        <v>-1333678227</v>
      </c>
      <c r="Q3" s="2" t="s">
        <v>11</v>
      </c>
      <c r="R3" s="2">
        <v>1</v>
      </c>
    </row>
    <row r="4" spans="1:18" x14ac:dyDescent="0.4">
      <c r="A4" s="7">
        <v>45397</v>
      </c>
      <c r="B4" s="2" t="s">
        <v>21</v>
      </c>
      <c r="C4" s="2">
        <v>2024</v>
      </c>
      <c r="D4" s="2">
        <v>3</v>
      </c>
      <c r="E4" s="2">
        <v>15</v>
      </c>
      <c r="F4" s="8">
        <v>115493516</v>
      </c>
      <c r="G4" s="2">
        <v>110906396</v>
      </c>
      <c r="H4" s="2">
        <v>22523243</v>
      </c>
      <c r="I4" s="6">
        <v>1745718</v>
      </c>
      <c r="J4" s="2">
        <f t="shared" si="1"/>
        <v>-16190405</v>
      </c>
      <c r="K4" s="2">
        <v>4861821</v>
      </c>
      <c r="L4" s="2">
        <v>0</v>
      </c>
      <c r="M4" s="2">
        <v>7360528</v>
      </c>
      <c r="N4" s="2">
        <f t="shared" si="0"/>
        <v>10300894</v>
      </c>
      <c r="O4" s="2">
        <v>1902027076</v>
      </c>
      <c r="P4" s="2">
        <v>-1353080917</v>
      </c>
      <c r="Q4" s="2" t="s">
        <v>11</v>
      </c>
      <c r="R4" s="2">
        <v>1</v>
      </c>
    </row>
    <row r="5" spans="1:18" x14ac:dyDescent="0.4">
      <c r="A5" s="7">
        <v>45427</v>
      </c>
      <c r="B5" s="2" t="s">
        <v>21</v>
      </c>
      <c r="C5" s="2">
        <v>2024</v>
      </c>
      <c r="D5" s="2">
        <v>4</v>
      </c>
      <c r="E5" s="2">
        <v>15</v>
      </c>
      <c r="F5" s="8">
        <v>74982312</v>
      </c>
      <c r="G5" s="2">
        <v>68182573</v>
      </c>
      <c r="H5" s="2">
        <v>14483842</v>
      </c>
      <c r="I5" s="6">
        <v>2542113</v>
      </c>
      <c r="J5" s="2">
        <f t="shared" si="1"/>
        <v>-5141990</v>
      </c>
      <c r="K5" s="2">
        <v>3588941</v>
      </c>
      <c r="L5" s="2">
        <v>0</v>
      </c>
      <c r="M5" s="2">
        <v>7026916</v>
      </c>
      <c r="N5" s="2">
        <f t="shared" si="0"/>
        <v>3867985</v>
      </c>
      <c r="O5" s="2">
        <v>1866052949</v>
      </c>
      <c r="P5" s="2">
        <v>-1377792022</v>
      </c>
      <c r="Q5" s="2" t="s">
        <v>11</v>
      </c>
      <c r="R5" s="2">
        <v>1</v>
      </c>
    </row>
    <row r="6" spans="1:18" x14ac:dyDescent="0.4">
      <c r="A6" s="7">
        <v>45458</v>
      </c>
      <c r="B6" s="2" t="s">
        <v>21</v>
      </c>
      <c r="C6" s="2">
        <v>2024</v>
      </c>
      <c r="D6" s="2">
        <v>5</v>
      </c>
      <c r="E6" s="2">
        <v>15</v>
      </c>
      <c r="F6" s="8">
        <v>126070115</v>
      </c>
      <c r="G6" s="2">
        <v>121997083</v>
      </c>
      <c r="H6" s="2">
        <v>17317472</v>
      </c>
      <c r="I6" s="6">
        <v>3338508</v>
      </c>
      <c r="J6" s="2">
        <f t="shared" si="1"/>
        <v>-9905932</v>
      </c>
      <c r="K6" s="2">
        <v>3679043</v>
      </c>
      <c r="L6" s="2">
        <v>0</v>
      </c>
      <c r="M6" s="2">
        <v>8022052</v>
      </c>
      <c r="N6" s="2">
        <f t="shared" si="0"/>
        <v>5616377</v>
      </c>
      <c r="O6" s="2">
        <v>1803056923</v>
      </c>
      <c r="P6" s="2">
        <v>-1276140650</v>
      </c>
      <c r="Q6" s="2" t="s">
        <v>11</v>
      </c>
      <c r="R6" s="2">
        <v>1</v>
      </c>
    </row>
    <row r="7" spans="1:18" x14ac:dyDescent="0.4">
      <c r="A7" s="7">
        <v>45488</v>
      </c>
      <c r="B7" s="2" t="s">
        <v>21</v>
      </c>
      <c r="C7" s="2">
        <v>2024</v>
      </c>
      <c r="D7" s="2">
        <v>6</v>
      </c>
      <c r="E7" s="2">
        <v>15</v>
      </c>
      <c r="F7" s="8">
        <v>117776448</v>
      </c>
      <c r="G7" s="2">
        <v>101589861</v>
      </c>
      <c r="H7" s="2">
        <v>9217876</v>
      </c>
      <c r="I7" s="6">
        <v>4134903</v>
      </c>
      <c r="J7" s="2">
        <f t="shared" si="1"/>
        <v>11103614</v>
      </c>
      <c r="K7" s="2">
        <v>3578007</v>
      </c>
      <c r="L7" s="2">
        <v>0</v>
      </c>
      <c r="M7" s="2">
        <v>8363720</v>
      </c>
      <c r="N7" s="2">
        <f t="shared" si="0"/>
        <v>-2723851</v>
      </c>
      <c r="O7" s="2">
        <v>1738386343</v>
      </c>
      <c r="P7" s="2">
        <v>-1044548141</v>
      </c>
      <c r="Q7" s="2" t="s">
        <v>11</v>
      </c>
      <c r="R7" s="2">
        <v>1</v>
      </c>
    </row>
    <row r="8" spans="1:18" x14ac:dyDescent="0.4">
      <c r="A8" s="7">
        <v>45519</v>
      </c>
      <c r="B8" s="2" t="s">
        <v>21</v>
      </c>
      <c r="C8" s="2">
        <v>2024</v>
      </c>
      <c r="D8" s="2">
        <v>7</v>
      </c>
      <c r="E8" s="2">
        <v>15</v>
      </c>
      <c r="F8" s="8">
        <v>96308823</v>
      </c>
      <c r="G8" s="2">
        <v>93002188</v>
      </c>
      <c r="H8" s="2">
        <v>15968889</v>
      </c>
      <c r="I8" s="6">
        <v>4931298</v>
      </c>
      <c r="J8" s="2">
        <f t="shared" si="1"/>
        <v>-7730956</v>
      </c>
      <c r="K8" s="2">
        <v>4238421</v>
      </c>
      <c r="L8" s="2">
        <v>0</v>
      </c>
      <c r="M8" s="2">
        <v>7701535</v>
      </c>
      <c r="N8" s="2">
        <f t="shared" si="0"/>
        <v>4028933</v>
      </c>
      <c r="O8" s="2">
        <v>1837734072</v>
      </c>
      <c r="P8" s="2">
        <v>-1129166042</v>
      </c>
      <c r="Q8" s="2" t="s">
        <v>11</v>
      </c>
      <c r="R8" s="2">
        <v>1</v>
      </c>
    </row>
    <row r="9" spans="1:18" x14ac:dyDescent="0.4">
      <c r="A9" s="7">
        <v>45550</v>
      </c>
      <c r="B9" s="2" t="s">
        <v>21</v>
      </c>
      <c r="C9" s="2">
        <v>2024</v>
      </c>
      <c r="D9" s="2">
        <v>8</v>
      </c>
      <c r="E9" s="2">
        <v>15</v>
      </c>
      <c r="F9" s="8">
        <v>172198719</v>
      </c>
      <c r="G9" s="2">
        <v>157527061</v>
      </c>
      <c r="H9" s="2">
        <v>11385232</v>
      </c>
      <c r="I9" s="6">
        <v>5727693</v>
      </c>
      <c r="J9" s="2">
        <f t="shared" si="1"/>
        <v>9014119</v>
      </c>
      <c r="K9" s="2">
        <v>3753956</v>
      </c>
      <c r="L9" s="2">
        <v>0</v>
      </c>
      <c r="M9" s="2">
        <v>7332305</v>
      </c>
      <c r="N9" s="2">
        <f t="shared" si="0"/>
        <v>298971</v>
      </c>
      <c r="O9" s="2">
        <v>1764928500</v>
      </c>
      <c r="P9" s="2">
        <v>-1144885584</v>
      </c>
      <c r="Q9" s="2" t="s">
        <v>11</v>
      </c>
      <c r="R9" s="2">
        <v>1</v>
      </c>
    </row>
    <row r="10" spans="1:18" x14ac:dyDescent="0.4">
      <c r="A10" s="7">
        <v>45580</v>
      </c>
      <c r="B10" s="2" t="s">
        <v>21</v>
      </c>
      <c r="C10" s="2">
        <v>2024</v>
      </c>
      <c r="D10" s="2">
        <v>9</v>
      </c>
      <c r="E10" s="2">
        <v>15</v>
      </c>
      <c r="F10" s="8">
        <v>111397513</v>
      </c>
      <c r="G10" s="2">
        <v>101426272</v>
      </c>
      <c r="H10" s="2">
        <v>12437814</v>
      </c>
      <c r="I10" s="6">
        <v>6524088</v>
      </c>
      <c r="J10" s="2">
        <f t="shared" si="1"/>
        <v>4057515</v>
      </c>
      <c r="K10" s="2">
        <v>3996181</v>
      </c>
      <c r="L10" s="2">
        <v>0</v>
      </c>
      <c r="M10" s="2">
        <v>7305315</v>
      </c>
      <c r="N10" s="2">
        <f t="shared" si="0"/>
        <v>1136318</v>
      </c>
      <c r="O10" s="2">
        <v>1781884170</v>
      </c>
      <c r="P10" s="2">
        <v>-1202683519</v>
      </c>
      <c r="Q10" s="2" t="s">
        <v>11</v>
      </c>
      <c r="R10" s="2">
        <v>1</v>
      </c>
    </row>
    <row r="11" spans="1:18" x14ac:dyDescent="0.4">
      <c r="A11" s="7">
        <v>45611</v>
      </c>
      <c r="B11" s="2" t="s">
        <v>21</v>
      </c>
      <c r="C11" s="2">
        <v>2024</v>
      </c>
      <c r="D11" s="2">
        <v>10</v>
      </c>
      <c r="E11" s="2">
        <v>15</v>
      </c>
      <c r="F11" s="8">
        <v>161085695</v>
      </c>
      <c r="G11" s="2">
        <v>152416325</v>
      </c>
      <c r="H11" s="2">
        <v>15878644</v>
      </c>
      <c r="I11" s="6">
        <v>5320483</v>
      </c>
      <c r="J11" s="2">
        <f t="shared" si="1"/>
        <v>-1888791</v>
      </c>
      <c r="K11" s="2">
        <v>3265649</v>
      </c>
      <c r="L11" s="2">
        <v>0</v>
      </c>
      <c r="M11" s="2">
        <v>8325244</v>
      </c>
      <c r="N11" s="2">
        <f t="shared" si="0"/>
        <v>4287751</v>
      </c>
      <c r="O11" s="2">
        <v>2058987449</v>
      </c>
      <c r="P11" s="2">
        <v>-1485335851</v>
      </c>
      <c r="Q11" s="2" t="s">
        <v>11</v>
      </c>
      <c r="R11" s="2">
        <v>1</v>
      </c>
    </row>
    <row r="12" spans="1:18" x14ac:dyDescent="0.4">
      <c r="A12" s="7">
        <v>45641</v>
      </c>
      <c r="B12" s="2" t="s">
        <v>21</v>
      </c>
      <c r="C12" s="2">
        <v>2024</v>
      </c>
      <c r="D12" s="2">
        <v>11</v>
      </c>
      <c r="E12" s="2">
        <v>15</v>
      </c>
      <c r="F12" s="8">
        <v>102798215</v>
      </c>
      <c r="G12" s="2">
        <v>96373084</v>
      </c>
      <c r="H12" s="2">
        <v>14320466</v>
      </c>
      <c r="I12" s="6">
        <v>4116878</v>
      </c>
      <c r="J12" s="2">
        <f t="shared" si="1"/>
        <v>-3778457</v>
      </c>
      <c r="K12" s="2">
        <v>3375188</v>
      </c>
      <c r="L12" s="2">
        <v>0</v>
      </c>
      <c r="M12" s="2">
        <v>7598998</v>
      </c>
      <c r="N12" s="2">
        <f t="shared" si="0"/>
        <v>3346280</v>
      </c>
      <c r="O12" s="2">
        <v>2022909937</v>
      </c>
      <c r="P12" s="2">
        <v>-1504791749</v>
      </c>
      <c r="Q12" s="2" t="s">
        <v>11</v>
      </c>
      <c r="R12" s="2">
        <v>1</v>
      </c>
    </row>
    <row r="13" spans="1:18" x14ac:dyDescent="0.4">
      <c r="A13" s="7">
        <v>45672</v>
      </c>
      <c r="B13" s="2" t="s">
        <v>21</v>
      </c>
      <c r="C13" s="2">
        <v>2024</v>
      </c>
      <c r="D13" s="2">
        <v>12</v>
      </c>
      <c r="E13" s="2">
        <v>15</v>
      </c>
      <c r="F13" s="8">
        <v>239551736</v>
      </c>
      <c r="G13" s="2">
        <v>218564095</v>
      </c>
      <c r="H13" s="2">
        <v>89399759</v>
      </c>
      <c r="I13" s="6">
        <v>6913273</v>
      </c>
      <c r="J13" s="2">
        <f t="shared" si="1"/>
        <v>-61498845</v>
      </c>
      <c r="K13" s="2">
        <v>4162839</v>
      </c>
      <c r="L13" s="2">
        <v>0</v>
      </c>
      <c r="M13" s="2">
        <v>10735042</v>
      </c>
      <c r="N13" s="2">
        <f t="shared" si="0"/>
        <v>74501878</v>
      </c>
      <c r="O13" s="2">
        <v>1741806498</v>
      </c>
      <c r="P13" s="2">
        <v>-1302349088</v>
      </c>
      <c r="Q13" s="2" t="s">
        <v>11</v>
      </c>
      <c r="R13" s="2">
        <v>1</v>
      </c>
    </row>
    <row r="14" spans="1:18" x14ac:dyDescent="0.4">
      <c r="A14" s="7">
        <v>45703</v>
      </c>
      <c r="B14" s="2" t="s">
        <v>21</v>
      </c>
      <c r="C14" s="2">
        <v>2025</v>
      </c>
      <c r="D14" s="2">
        <v>1</v>
      </c>
      <c r="E14" s="2">
        <v>15</v>
      </c>
      <c r="F14" s="8">
        <v>62325392</v>
      </c>
      <c r="G14" s="2">
        <v>59365259</v>
      </c>
      <c r="H14" s="2">
        <v>14667565</v>
      </c>
      <c r="I14" s="6">
        <v>1245001</v>
      </c>
      <c r="J14" s="2">
        <f>F14-G14-H14+I14</f>
        <v>-10462431</v>
      </c>
      <c r="K14" s="2">
        <v>3602498</v>
      </c>
      <c r="L14" s="2">
        <v>0</v>
      </c>
      <c r="M14" s="2">
        <v>6812114</v>
      </c>
      <c r="N14" s="2">
        <f t="shared" si="0"/>
        <v>4252953</v>
      </c>
      <c r="O14" s="2">
        <v>2072804343</v>
      </c>
      <c r="P14" s="2">
        <v>-1347928390</v>
      </c>
      <c r="Q14" s="2" t="s">
        <v>11</v>
      </c>
      <c r="R14" s="2">
        <v>1</v>
      </c>
    </row>
    <row r="15" spans="1:18" x14ac:dyDescent="0.4">
      <c r="A15" s="7">
        <v>45731</v>
      </c>
      <c r="B15" s="2" t="s">
        <v>21</v>
      </c>
      <c r="C15" s="2">
        <v>2025</v>
      </c>
      <c r="D15" s="2">
        <v>2</v>
      </c>
      <c r="E15" s="2">
        <v>15</v>
      </c>
      <c r="F15" s="8">
        <v>67076410</v>
      </c>
      <c r="G15" s="2">
        <v>66585003</v>
      </c>
      <c r="H15" s="2">
        <v>14701230</v>
      </c>
      <c r="I15" s="6">
        <v>1435114</v>
      </c>
      <c r="J15" s="2">
        <f t="shared" ref="J15:J25" si="2">F15-G15-H15+I15</f>
        <v>-12774709</v>
      </c>
      <c r="K15" s="2">
        <v>3609415</v>
      </c>
      <c r="L15" s="2">
        <v>0</v>
      </c>
      <c r="M15" s="2">
        <v>6788030</v>
      </c>
      <c r="N15" s="2">
        <f t="shared" si="0"/>
        <v>4303785</v>
      </c>
      <c r="O15" s="2">
        <v>1979629795</v>
      </c>
      <c r="P15" s="2">
        <v>-1333678227</v>
      </c>
      <c r="Q15" s="2" t="s">
        <v>11</v>
      </c>
      <c r="R15" s="2">
        <v>1</v>
      </c>
    </row>
    <row r="16" spans="1:18" x14ac:dyDescent="0.4">
      <c r="A16" s="7">
        <v>45762</v>
      </c>
      <c r="B16" s="2" t="s">
        <v>21</v>
      </c>
      <c r="C16" s="2">
        <v>2025</v>
      </c>
      <c r="D16" s="2">
        <v>3</v>
      </c>
      <c r="E16" s="2">
        <v>15</v>
      </c>
      <c r="F16" s="8">
        <v>115493516</v>
      </c>
      <c r="G16" s="2">
        <v>110906396</v>
      </c>
      <c r="H16" s="2">
        <v>22523243</v>
      </c>
      <c r="I16" s="6">
        <v>1745718</v>
      </c>
      <c r="J16" s="2">
        <f t="shared" si="2"/>
        <v>-16190405</v>
      </c>
      <c r="K16" s="2">
        <v>4861821</v>
      </c>
      <c r="L16" s="2">
        <v>0</v>
      </c>
      <c r="M16" s="2">
        <v>7360528</v>
      </c>
      <c r="N16" s="2">
        <f t="shared" si="0"/>
        <v>10300894</v>
      </c>
      <c r="O16" s="2">
        <v>1902027076</v>
      </c>
      <c r="P16" s="2">
        <v>-1353080917</v>
      </c>
      <c r="Q16" s="2" t="s">
        <v>11</v>
      </c>
      <c r="R16" s="2">
        <v>1</v>
      </c>
    </row>
    <row r="17" spans="1:18" x14ac:dyDescent="0.4">
      <c r="A17" s="7">
        <v>45792</v>
      </c>
      <c r="B17" s="2" t="s">
        <v>21</v>
      </c>
      <c r="C17" s="2">
        <v>2025</v>
      </c>
      <c r="D17" s="2">
        <v>4</v>
      </c>
      <c r="E17" s="2">
        <v>15</v>
      </c>
      <c r="F17" s="8">
        <v>74982312</v>
      </c>
      <c r="G17" s="2">
        <v>68182573</v>
      </c>
      <c r="H17" s="2">
        <v>14483842</v>
      </c>
      <c r="I17" s="6">
        <v>2542113</v>
      </c>
      <c r="J17" s="2">
        <f t="shared" si="2"/>
        <v>-5141990</v>
      </c>
      <c r="K17" s="2">
        <v>3588941</v>
      </c>
      <c r="L17" s="2">
        <v>0</v>
      </c>
      <c r="M17" s="2">
        <v>7026916</v>
      </c>
      <c r="N17" s="2">
        <f t="shared" si="0"/>
        <v>3867985</v>
      </c>
      <c r="O17" s="2">
        <v>1866052949</v>
      </c>
      <c r="P17" s="2">
        <v>-1377792022</v>
      </c>
      <c r="Q17" s="2" t="s">
        <v>11</v>
      </c>
      <c r="R17" s="2">
        <v>1</v>
      </c>
    </row>
    <row r="18" spans="1:18" x14ac:dyDescent="0.4">
      <c r="A18" s="7">
        <v>45823</v>
      </c>
      <c r="B18" s="2" t="s">
        <v>21</v>
      </c>
      <c r="C18" s="2">
        <v>2025</v>
      </c>
      <c r="D18" s="2">
        <v>5</v>
      </c>
      <c r="E18" s="2">
        <v>15</v>
      </c>
      <c r="F18" s="8">
        <v>126070115</v>
      </c>
      <c r="G18" s="2">
        <v>121997083</v>
      </c>
      <c r="H18" s="2">
        <v>17317472</v>
      </c>
      <c r="I18" s="6">
        <v>3338508</v>
      </c>
      <c r="J18" s="2">
        <f t="shared" si="2"/>
        <v>-9905932</v>
      </c>
      <c r="K18" s="2">
        <v>3679043</v>
      </c>
      <c r="L18" s="2">
        <v>0</v>
      </c>
      <c r="M18" s="2">
        <v>8022052</v>
      </c>
      <c r="N18" s="2">
        <f t="shared" si="0"/>
        <v>5616377</v>
      </c>
      <c r="O18" s="2">
        <v>1803056923</v>
      </c>
      <c r="P18" s="2">
        <v>-1276140650</v>
      </c>
      <c r="Q18" s="2" t="s">
        <v>11</v>
      </c>
      <c r="R18" s="2">
        <v>1</v>
      </c>
    </row>
    <row r="19" spans="1:18" x14ac:dyDescent="0.4">
      <c r="A19" s="7">
        <v>45853</v>
      </c>
      <c r="B19" s="2" t="s">
        <v>21</v>
      </c>
      <c r="C19" s="2">
        <v>2025</v>
      </c>
      <c r="D19" s="2">
        <v>6</v>
      </c>
      <c r="E19" s="2">
        <v>15</v>
      </c>
      <c r="F19" s="8">
        <v>117776448</v>
      </c>
      <c r="G19" s="2">
        <v>101589861</v>
      </c>
      <c r="H19" s="2">
        <v>9217876</v>
      </c>
      <c r="I19" s="6">
        <v>4134903</v>
      </c>
      <c r="J19" s="2">
        <f t="shared" si="2"/>
        <v>11103614</v>
      </c>
      <c r="K19" s="2">
        <v>3578007</v>
      </c>
      <c r="L19" s="2">
        <v>0</v>
      </c>
      <c r="M19" s="2">
        <v>8363720</v>
      </c>
      <c r="N19" s="2">
        <f t="shared" si="0"/>
        <v>-2723851</v>
      </c>
      <c r="O19" s="2">
        <v>1738386343</v>
      </c>
      <c r="P19" s="2">
        <v>-1044548141</v>
      </c>
      <c r="Q19" s="2" t="s">
        <v>11</v>
      </c>
      <c r="R19" s="2">
        <v>1</v>
      </c>
    </row>
    <row r="20" spans="1:18" x14ac:dyDescent="0.4">
      <c r="A20" s="7">
        <v>45884</v>
      </c>
      <c r="B20" s="2" t="s">
        <v>21</v>
      </c>
      <c r="C20" s="2">
        <v>2025</v>
      </c>
      <c r="D20" s="2">
        <v>7</v>
      </c>
      <c r="E20" s="2">
        <v>15</v>
      </c>
      <c r="F20" s="8">
        <v>96308823</v>
      </c>
      <c r="G20" s="2">
        <v>93002188</v>
      </c>
      <c r="H20" s="2">
        <v>15968889</v>
      </c>
      <c r="I20" s="6">
        <v>4931298</v>
      </c>
      <c r="J20" s="2">
        <f t="shared" si="2"/>
        <v>-7730956</v>
      </c>
      <c r="K20" s="2">
        <v>4238421</v>
      </c>
      <c r="L20" s="2">
        <v>0</v>
      </c>
      <c r="M20" s="2">
        <v>7701535</v>
      </c>
      <c r="N20" s="2">
        <f t="shared" si="0"/>
        <v>4028933</v>
      </c>
      <c r="O20" s="2">
        <v>1837734072</v>
      </c>
      <c r="P20" s="2">
        <v>-1129166042</v>
      </c>
      <c r="Q20" s="2" t="s">
        <v>11</v>
      </c>
      <c r="R20" s="2">
        <v>1</v>
      </c>
    </row>
    <row r="21" spans="1:18" x14ac:dyDescent="0.4">
      <c r="A21" s="7">
        <v>45915</v>
      </c>
      <c r="B21" s="2" t="s">
        <v>21</v>
      </c>
      <c r="C21" s="2">
        <v>2025</v>
      </c>
      <c r="D21" s="2">
        <v>8</v>
      </c>
      <c r="E21" s="2">
        <v>15</v>
      </c>
      <c r="F21" s="8">
        <v>172198719</v>
      </c>
      <c r="G21" s="2">
        <v>157527061</v>
      </c>
      <c r="H21" s="2">
        <v>11385232</v>
      </c>
      <c r="I21" s="6">
        <v>5727693</v>
      </c>
      <c r="J21" s="2">
        <f t="shared" si="2"/>
        <v>9014119</v>
      </c>
      <c r="K21" s="2">
        <v>3753956</v>
      </c>
      <c r="L21" s="2">
        <v>0</v>
      </c>
      <c r="M21" s="2">
        <v>7332305</v>
      </c>
      <c r="N21" s="2">
        <f t="shared" si="0"/>
        <v>298971</v>
      </c>
      <c r="O21" s="2">
        <v>1764928500</v>
      </c>
      <c r="P21" s="2">
        <v>-1144885584</v>
      </c>
      <c r="Q21" s="2" t="s">
        <v>11</v>
      </c>
      <c r="R21" s="2">
        <v>1</v>
      </c>
    </row>
    <row r="22" spans="1:18" x14ac:dyDescent="0.4">
      <c r="A22" s="7">
        <v>45945</v>
      </c>
      <c r="B22" s="2" t="s">
        <v>21</v>
      </c>
      <c r="C22" s="2">
        <v>2025</v>
      </c>
      <c r="D22" s="2">
        <v>9</v>
      </c>
      <c r="E22" s="2">
        <v>15</v>
      </c>
      <c r="F22" s="8">
        <v>111397513</v>
      </c>
      <c r="G22" s="2">
        <v>101426272</v>
      </c>
      <c r="H22" s="2">
        <v>12437814</v>
      </c>
      <c r="I22" s="6">
        <v>6524088</v>
      </c>
      <c r="J22" s="2">
        <f t="shared" si="2"/>
        <v>4057515</v>
      </c>
      <c r="K22" s="2">
        <v>3996181</v>
      </c>
      <c r="L22" s="2">
        <v>0</v>
      </c>
      <c r="M22" s="2">
        <v>7305315</v>
      </c>
      <c r="N22" s="2">
        <f t="shared" si="0"/>
        <v>1136318</v>
      </c>
      <c r="O22" s="2">
        <v>1781884170</v>
      </c>
      <c r="P22" s="2">
        <v>-1202683519</v>
      </c>
      <c r="Q22" s="2" t="s">
        <v>11</v>
      </c>
      <c r="R22" s="2">
        <v>1</v>
      </c>
    </row>
    <row r="23" spans="1:18" x14ac:dyDescent="0.4">
      <c r="A23" s="7">
        <v>45976</v>
      </c>
      <c r="B23" s="2" t="s">
        <v>21</v>
      </c>
      <c r="C23" s="2">
        <v>2025</v>
      </c>
      <c r="D23" s="2">
        <v>10</v>
      </c>
      <c r="E23" s="2">
        <v>15</v>
      </c>
      <c r="F23" s="8">
        <v>161085695</v>
      </c>
      <c r="G23" s="2">
        <v>152416325</v>
      </c>
      <c r="H23" s="2">
        <v>15878644</v>
      </c>
      <c r="I23" s="6">
        <v>5320483</v>
      </c>
      <c r="J23" s="2">
        <f t="shared" si="2"/>
        <v>-1888791</v>
      </c>
      <c r="K23" s="2">
        <v>3265649</v>
      </c>
      <c r="L23" s="2">
        <v>0</v>
      </c>
      <c r="M23" s="2">
        <v>8325244</v>
      </c>
      <c r="N23" s="2">
        <f t="shared" si="0"/>
        <v>4287751</v>
      </c>
      <c r="O23" s="2">
        <v>2058987449</v>
      </c>
      <c r="P23" s="2">
        <v>-1485335851</v>
      </c>
      <c r="Q23" s="2" t="s">
        <v>11</v>
      </c>
      <c r="R23" s="2">
        <v>1</v>
      </c>
    </row>
    <row r="24" spans="1:18" x14ac:dyDescent="0.4">
      <c r="A24" s="7">
        <v>46006</v>
      </c>
      <c r="B24" s="2" t="s">
        <v>21</v>
      </c>
      <c r="C24" s="2">
        <v>2025</v>
      </c>
      <c r="D24" s="2">
        <v>11</v>
      </c>
      <c r="E24" s="2">
        <v>15</v>
      </c>
      <c r="F24" s="8">
        <v>102798215</v>
      </c>
      <c r="G24" s="2">
        <v>96373084</v>
      </c>
      <c r="H24" s="2">
        <v>14320466</v>
      </c>
      <c r="I24" s="6">
        <v>4116878</v>
      </c>
      <c r="J24" s="2">
        <f t="shared" si="2"/>
        <v>-3778457</v>
      </c>
      <c r="K24" s="2">
        <v>3375188</v>
      </c>
      <c r="L24" s="2">
        <v>0</v>
      </c>
      <c r="M24" s="2">
        <v>7598998</v>
      </c>
      <c r="N24" s="2">
        <f t="shared" si="0"/>
        <v>3346280</v>
      </c>
      <c r="O24" s="2">
        <v>2022909937</v>
      </c>
      <c r="P24" s="2">
        <v>-1504791749</v>
      </c>
      <c r="Q24" s="2" t="s">
        <v>11</v>
      </c>
      <c r="R24" s="2">
        <v>1</v>
      </c>
    </row>
    <row r="25" spans="1:18" x14ac:dyDescent="0.4">
      <c r="A25" s="7">
        <v>46037</v>
      </c>
      <c r="B25" s="2" t="s">
        <v>21</v>
      </c>
      <c r="C25" s="2">
        <v>2025</v>
      </c>
      <c r="D25" s="2">
        <v>12</v>
      </c>
      <c r="E25" s="2">
        <v>15</v>
      </c>
      <c r="F25" s="8">
        <v>239551736</v>
      </c>
      <c r="G25" s="2">
        <v>218564095</v>
      </c>
      <c r="H25" s="2">
        <v>89399759</v>
      </c>
      <c r="I25" s="6">
        <v>6913273</v>
      </c>
      <c r="J25" s="2">
        <f t="shared" si="2"/>
        <v>-61498845</v>
      </c>
      <c r="K25" s="2">
        <v>4162839</v>
      </c>
      <c r="L25" s="2">
        <v>0</v>
      </c>
      <c r="M25" s="2">
        <v>10735042</v>
      </c>
      <c r="N25" s="2">
        <f t="shared" si="0"/>
        <v>74501878</v>
      </c>
      <c r="O25" s="2">
        <v>1741806498</v>
      </c>
      <c r="P25" s="2">
        <v>-1302349088</v>
      </c>
      <c r="Q25" s="2" t="s">
        <v>11</v>
      </c>
      <c r="R25" s="2">
        <v>1</v>
      </c>
    </row>
    <row r="26" spans="1:18" x14ac:dyDescent="0.4">
      <c r="A26" s="7">
        <v>46068</v>
      </c>
      <c r="B26" s="2" t="s">
        <v>21</v>
      </c>
      <c r="C26" s="2">
        <v>2026</v>
      </c>
      <c r="D26" s="2">
        <v>1</v>
      </c>
      <c r="E26" s="2">
        <v>15</v>
      </c>
      <c r="F26" s="8">
        <v>62325392</v>
      </c>
      <c r="G26" s="2">
        <v>59365259</v>
      </c>
      <c r="H26" s="2">
        <v>14667565</v>
      </c>
      <c r="I26" s="6">
        <v>1245001</v>
      </c>
      <c r="J26" s="2">
        <f>F26-G26-H26+I26</f>
        <v>-10462431</v>
      </c>
      <c r="K26" s="2">
        <v>3602498</v>
      </c>
      <c r="L26" s="2">
        <v>0</v>
      </c>
      <c r="M26" s="2">
        <v>6812114</v>
      </c>
      <c r="N26" s="2">
        <f t="shared" si="0"/>
        <v>4252953</v>
      </c>
      <c r="O26" s="2">
        <v>2072804343</v>
      </c>
      <c r="P26" s="2">
        <v>-1347928390</v>
      </c>
      <c r="Q26" s="2" t="s">
        <v>11</v>
      </c>
      <c r="R26" s="2">
        <v>1</v>
      </c>
    </row>
    <row r="27" spans="1:18" x14ac:dyDescent="0.4">
      <c r="A27" s="7">
        <v>46096</v>
      </c>
      <c r="B27" s="2" t="s">
        <v>21</v>
      </c>
      <c r="C27" s="2">
        <v>2026</v>
      </c>
      <c r="D27" s="2">
        <v>2</v>
      </c>
      <c r="E27" s="2">
        <v>15</v>
      </c>
      <c r="F27" s="8">
        <v>67076410</v>
      </c>
      <c r="G27" s="2">
        <v>66585003</v>
      </c>
      <c r="H27" s="2">
        <v>14701230</v>
      </c>
      <c r="I27" s="6">
        <v>1435114</v>
      </c>
      <c r="J27" s="2">
        <f t="shared" ref="J27:J52" si="3">F27-G27-H27+I27</f>
        <v>-12774709</v>
      </c>
      <c r="K27" s="2">
        <v>3609415</v>
      </c>
      <c r="L27" s="2">
        <v>0</v>
      </c>
      <c r="M27" s="2">
        <v>6788030</v>
      </c>
      <c r="N27" s="2">
        <f t="shared" si="0"/>
        <v>4303785</v>
      </c>
      <c r="O27" s="2">
        <v>1979629795</v>
      </c>
      <c r="P27" s="2">
        <v>-1333678227</v>
      </c>
      <c r="Q27" s="2" t="s">
        <v>11</v>
      </c>
      <c r="R27" s="2">
        <v>1</v>
      </c>
    </row>
    <row r="28" spans="1:18" x14ac:dyDescent="0.4">
      <c r="A28" s="7">
        <v>46127</v>
      </c>
      <c r="B28" s="2" t="s">
        <v>21</v>
      </c>
      <c r="C28" s="2">
        <v>2026</v>
      </c>
      <c r="D28" s="2">
        <v>3</v>
      </c>
      <c r="E28" s="2">
        <v>15</v>
      </c>
      <c r="F28" s="8">
        <v>115493516</v>
      </c>
      <c r="G28" s="2">
        <v>110906396</v>
      </c>
      <c r="H28" s="2">
        <v>22523243</v>
      </c>
      <c r="I28" s="6">
        <v>1745718</v>
      </c>
      <c r="J28" s="2">
        <f t="shared" si="3"/>
        <v>-16190405</v>
      </c>
      <c r="K28" s="2">
        <v>4861821</v>
      </c>
      <c r="L28" s="2">
        <v>0</v>
      </c>
      <c r="M28" s="2">
        <v>7360528</v>
      </c>
      <c r="N28" s="2">
        <f t="shared" si="0"/>
        <v>10300894</v>
      </c>
      <c r="O28" s="2">
        <v>1902027076</v>
      </c>
      <c r="P28" s="2">
        <v>-1353080917</v>
      </c>
      <c r="Q28" s="2" t="s">
        <v>11</v>
      </c>
      <c r="R28" s="2">
        <v>1</v>
      </c>
    </row>
    <row r="29" spans="1:18" x14ac:dyDescent="0.4">
      <c r="A29" s="7">
        <v>45337</v>
      </c>
      <c r="B29" s="2" t="s">
        <v>22</v>
      </c>
      <c r="C29" s="2">
        <v>2024</v>
      </c>
      <c r="D29" s="2">
        <v>1</v>
      </c>
      <c r="E29" s="2">
        <v>15</v>
      </c>
      <c r="F29" s="8">
        <v>62325392</v>
      </c>
      <c r="G29" s="2">
        <v>14667565</v>
      </c>
      <c r="H29" s="1">
        <v>1134356.94</v>
      </c>
      <c r="I29" s="6">
        <v>1245001</v>
      </c>
      <c r="J29" s="2">
        <f t="shared" si="3"/>
        <v>47768471.060000002</v>
      </c>
      <c r="K29" s="2">
        <v>299190.44</v>
      </c>
      <c r="L29" s="2">
        <v>0</v>
      </c>
      <c r="M29" s="2">
        <v>885166.5</v>
      </c>
      <c r="N29" s="2">
        <f t="shared" si="0"/>
        <v>-50000</v>
      </c>
      <c r="O29" s="1">
        <v>93096891.519999996</v>
      </c>
      <c r="P29" s="1">
        <v>276145933.04000002</v>
      </c>
      <c r="Q29" s="2" t="s">
        <v>12</v>
      </c>
      <c r="R29" s="2">
        <v>4.5</v>
      </c>
    </row>
    <row r="30" spans="1:18" x14ac:dyDescent="0.4">
      <c r="A30" s="7">
        <v>45366</v>
      </c>
      <c r="B30" s="2" t="s">
        <v>22</v>
      </c>
      <c r="C30" s="2">
        <v>2024</v>
      </c>
      <c r="D30" s="2">
        <v>2</v>
      </c>
      <c r="E30" s="2">
        <v>15</v>
      </c>
      <c r="F30" s="8">
        <v>67076410</v>
      </c>
      <c r="G30" s="2">
        <v>14701230</v>
      </c>
      <c r="H30" s="1">
        <v>1118310.8700000001</v>
      </c>
      <c r="I30" s="6">
        <v>1435114</v>
      </c>
      <c r="J30" s="2">
        <f t="shared" si="3"/>
        <v>52691983.130000003</v>
      </c>
      <c r="K30" s="2">
        <v>326136.11</v>
      </c>
      <c r="L30" s="2">
        <v>0</v>
      </c>
      <c r="M30" s="2">
        <v>792174.76</v>
      </c>
      <c r="N30" s="2">
        <f t="shared" si="0"/>
        <v>0</v>
      </c>
      <c r="O30" s="9">
        <v>87383728.950000003</v>
      </c>
      <c r="P30" s="1">
        <v>270301736.62</v>
      </c>
      <c r="Q30" s="2" t="s">
        <v>12</v>
      </c>
      <c r="R30" s="2">
        <v>4.5</v>
      </c>
    </row>
    <row r="31" spans="1:18" x14ac:dyDescent="0.4">
      <c r="A31" s="7">
        <v>45397</v>
      </c>
      <c r="B31" s="2" t="s">
        <v>22</v>
      </c>
      <c r="C31" s="2">
        <v>2024</v>
      </c>
      <c r="D31" s="2">
        <v>3</v>
      </c>
      <c r="E31" s="2">
        <v>15</v>
      </c>
      <c r="F31" s="8">
        <v>115493516</v>
      </c>
      <c r="G31" s="2">
        <v>22523243</v>
      </c>
      <c r="H31" s="1">
        <v>1165303.05</v>
      </c>
      <c r="I31" s="6">
        <v>1745718</v>
      </c>
      <c r="J31" s="2">
        <f t="shared" si="3"/>
        <v>93550687.950000003</v>
      </c>
      <c r="K31" s="2">
        <v>310768.25</v>
      </c>
      <c r="L31" s="2">
        <v>0</v>
      </c>
      <c r="M31" s="2">
        <v>854534.8</v>
      </c>
      <c r="N31" s="2">
        <f t="shared" si="0"/>
        <v>0</v>
      </c>
      <c r="O31" s="1">
        <v>81186583.650000006</v>
      </c>
      <c r="P31" s="1">
        <v>262668336.56999999</v>
      </c>
      <c r="Q31" s="2" t="s">
        <v>12</v>
      </c>
      <c r="R31" s="2">
        <v>4.5</v>
      </c>
    </row>
    <row r="32" spans="1:18" x14ac:dyDescent="0.4">
      <c r="A32" s="7">
        <v>45427</v>
      </c>
      <c r="B32" s="2" t="s">
        <v>22</v>
      </c>
      <c r="C32" s="2">
        <v>2024</v>
      </c>
      <c r="D32" s="2">
        <v>4</v>
      </c>
      <c r="E32" s="2">
        <v>15</v>
      </c>
      <c r="F32" s="8">
        <v>74982312</v>
      </c>
      <c r="G32" s="2">
        <v>14483842</v>
      </c>
      <c r="H32" s="1">
        <v>1116447.4099999999</v>
      </c>
      <c r="I32" s="6">
        <v>2542113</v>
      </c>
      <c r="J32" s="2">
        <f t="shared" si="3"/>
        <v>61924135.590000004</v>
      </c>
      <c r="K32" s="2">
        <v>372119.06</v>
      </c>
      <c r="L32" s="2">
        <v>0</v>
      </c>
      <c r="M32" s="2">
        <v>794328.35</v>
      </c>
      <c r="N32" s="2">
        <f t="shared" si="0"/>
        <v>-50000.000000000116</v>
      </c>
      <c r="O32" s="1">
        <v>84093318.989999995</v>
      </c>
      <c r="P32" s="1">
        <v>265958308.09</v>
      </c>
      <c r="Q32" s="2" t="s">
        <v>12</v>
      </c>
      <c r="R32" s="2">
        <v>4.5</v>
      </c>
    </row>
    <row r="33" spans="1:18" x14ac:dyDescent="0.4">
      <c r="A33" s="7">
        <v>45458</v>
      </c>
      <c r="B33" s="2" t="s">
        <v>22</v>
      </c>
      <c r="C33" s="2">
        <v>2024</v>
      </c>
      <c r="D33" s="2">
        <v>5</v>
      </c>
      <c r="E33" s="2">
        <v>15</v>
      </c>
      <c r="F33" s="8">
        <v>126070115</v>
      </c>
      <c r="G33" s="2">
        <v>17317472</v>
      </c>
      <c r="H33" s="1">
        <v>1582634</v>
      </c>
      <c r="I33" s="6">
        <v>3338508</v>
      </c>
      <c r="J33" s="2">
        <f t="shared" si="3"/>
        <v>110508517</v>
      </c>
      <c r="K33" s="2">
        <v>763028.54</v>
      </c>
      <c r="L33" s="2">
        <v>0</v>
      </c>
      <c r="M33" s="2">
        <v>819605.46</v>
      </c>
      <c r="N33" s="2">
        <f t="shared" si="0"/>
        <v>0</v>
      </c>
      <c r="O33" s="1">
        <v>54537151.329999998</v>
      </c>
      <c r="P33" s="1">
        <v>234044365.72999999</v>
      </c>
      <c r="Q33" s="2" t="s">
        <v>12</v>
      </c>
      <c r="R33" s="2">
        <v>4.5</v>
      </c>
    </row>
    <row r="34" spans="1:18" x14ac:dyDescent="0.4">
      <c r="A34" s="7">
        <v>45488</v>
      </c>
      <c r="B34" s="2" t="s">
        <v>22</v>
      </c>
      <c r="C34" s="2">
        <v>2024</v>
      </c>
      <c r="D34" s="2">
        <v>6</v>
      </c>
      <c r="E34" s="2">
        <v>15</v>
      </c>
      <c r="F34" s="8">
        <v>117776448</v>
      </c>
      <c r="G34" s="2">
        <v>9217876</v>
      </c>
      <c r="H34" s="1">
        <v>1415889.05</v>
      </c>
      <c r="I34" s="6">
        <v>4134903</v>
      </c>
      <c r="J34" s="2">
        <f t="shared" si="3"/>
        <v>111277585.95</v>
      </c>
      <c r="K34" s="2">
        <v>537422.52</v>
      </c>
      <c r="L34" s="2">
        <v>0</v>
      </c>
      <c r="M34" s="2">
        <v>878466.53</v>
      </c>
      <c r="N34" s="2">
        <f t="shared" si="0"/>
        <v>0</v>
      </c>
      <c r="O34" s="1">
        <v>44390938.719999999</v>
      </c>
      <c r="P34" s="1">
        <v>226047624.65000001</v>
      </c>
      <c r="Q34" s="2" t="s">
        <v>12</v>
      </c>
      <c r="R34" s="2">
        <v>4.5</v>
      </c>
    </row>
    <row r="35" spans="1:18" x14ac:dyDescent="0.4">
      <c r="A35" s="7">
        <v>45519</v>
      </c>
      <c r="B35" s="2" t="s">
        <v>22</v>
      </c>
      <c r="C35" s="2">
        <v>2024</v>
      </c>
      <c r="D35" s="2">
        <v>7</v>
      </c>
      <c r="E35" s="2">
        <v>15</v>
      </c>
      <c r="F35" s="8">
        <v>96308823</v>
      </c>
      <c r="G35" s="2">
        <v>15968889</v>
      </c>
      <c r="H35" s="1">
        <v>1053314.6399999999</v>
      </c>
      <c r="I35" s="6">
        <v>4931298</v>
      </c>
      <c r="J35" s="2">
        <f t="shared" si="3"/>
        <v>84217917.359999999</v>
      </c>
      <c r="K35" s="2">
        <v>260756.4</v>
      </c>
      <c r="L35" s="2">
        <v>0</v>
      </c>
      <c r="M35" s="2">
        <v>842558.24</v>
      </c>
      <c r="N35" s="2">
        <f t="shared" si="0"/>
        <v>-50000.000000000116</v>
      </c>
      <c r="O35" s="1">
        <v>43632731.880000003</v>
      </c>
      <c r="P35" s="1">
        <v>224796095.22</v>
      </c>
      <c r="Q35" s="2" t="s">
        <v>12</v>
      </c>
      <c r="R35" s="2">
        <v>4.5</v>
      </c>
    </row>
    <row r="36" spans="1:18" x14ac:dyDescent="0.4">
      <c r="A36" s="7">
        <v>45550</v>
      </c>
      <c r="B36" s="2" t="s">
        <v>22</v>
      </c>
      <c r="C36" s="2">
        <v>2024</v>
      </c>
      <c r="D36" s="2">
        <v>8</v>
      </c>
      <c r="E36" s="2">
        <v>15</v>
      </c>
      <c r="F36" s="8">
        <v>172198719</v>
      </c>
      <c r="G36" s="2">
        <v>11385232</v>
      </c>
      <c r="H36" s="1">
        <v>1171599.23</v>
      </c>
      <c r="I36" s="6">
        <v>5727693</v>
      </c>
      <c r="J36" s="2">
        <f t="shared" si="3"/>
        <v>165369580.77000001</v>
      </c>
      <c r="K36" s="2">
        <v>219237.65</v>
      </c>
      <c r="L36" s="2">
        <v>0</v>
      </c>
      <c r="M36" s="2">
        <v>952361.58</v>
      </c>
      <c r="N36" s="2">
        <f t="shared" si="0"/>
        <v>0</v>
      </c>
      <c r="O36" s="1">
        <v>75280042.609999999</v>
      </c>
      <c r="P36" s="1">
        <v>225052885.09999999</v>
      </c>
      <c r="Q36" s="2" t="s">
        <v>12</v>
      </c>
      <c r="R36" s="2">
        <v>4.5</v>
      </c>
    </row>
    <row r="37" spans="1:18" x14ac:dyDescent="0.4">
      <c r="A37" s="7">
        <v>45580</v>
      </c>
      <c r="B37" s="2" t="s">
        <v>22</v>
      </c>
      <c r="C37" s="2">
        <v>2024</v>
      </c>
      <c r="D37" s="2">
        <v>9</v>
      </c>
      <c r="E37" s="2">
        <v>15</v>
      </c>
      <c r="F37" s="8">
        <v>111397513</v>
      </c>
      <c r="G37" s="2">
        <v>12437814</v>
      </c>
      <c r="H37" s="1">
        <v>1100862.57</v>
      </c>
      <c r="I37" s="6">
        <v>6524088</v>
      </c>
      <c r="J37" s="2">
        <f t="shared" si="3"/>
        <v>104382924.43000001</v>
      </c>
      <c r="K37" s="2">
        <v>229548.67</v>
      </c>
      <c r="L37" s="2">
        <v>0</v>
      </c>
      <c r="M37" s="2">
        <v>871313.9</v>
      </c>
      <c r="N37" s="2">
        <f t="shared" si="0"/>
        <v>0</v>
      </c>
      <c r="O37" s="1">
        <v>74505359.340000004</v>
      </c>
      <c r="P37" s="1">
        <v>222717291.40000001</v>
      </c>
      <c r="Q37" s="2" t="s">
        <v>12</v>
      </c>
      <c r="R37" s="2">
        <v>4.5</v>
      </c>
    </row>
    <row r="38" spans="1:18" x14ac:dyDescent="0.4">
      <c r="A38" s="7">
        <v>45611</v>
      </c>
      <c r="B38" s="2" t="s">
        <v>22</v>
      </c>
      <c r="C38" s="2">
        <v>2024</v>
      </c>
      <c r="D38" s="2">
        <v>10</v>
      </c>
      <c r="E38" s="2">
        <v>15</v>
      </c>
      <c r="F38" s="8">
        <v>161085695</v>
      </c>
      <c r="G38" s="2">
        <v>15878644</v>
      </c>
      <c r="H38" s="1">
        <v>1118718.8999999999</v>
      </c>
      <c r="I38" s="6">
        <v>5320483</v>
      </c>
      <c r="J38" s="2">
        <f t="shared" si="3"/>
        <v>149408815.09999999</v>
      </c>
      <c r="K38" s="2">
        <v>319288.03999999998</v>
      </c>
      <c r="L38" s="2">
        <v>0</v>
      </c>
      <c r="M38" s="2">
        <v>849430.86</v>
      </c>
      <c r="N38" s="2">
        <f t="shared" si="0"/>
        <v>-50000.000000000116</v>
      </c>
      <c r="O38" s="1">
        <v>39718144.520000003</v>
      </c>
      <c r="P38" s="1">
        <v>187737244.69</v>
      </c>
      <c r="Q38" s="2" t="s">
        <v>12</v>
      </c>
      <c r="R38" s="2">
        <v>4.5</v>
      </c>
    </row>
    <row r="39" spans="1:18" x14ac:dyDescent="0.4">
      <c r="A39" s="7">
        <v>45641</v>
      </c>
      <c r="B39" s="2" t="s">
        <v>22</v>
      </c>
      <c r="C39" s="2">
        <v>2024</v>
      </c>
      <c r="D39" s="2">
        <v>11</v>
      </c>
      <c r="E39" s="2">
        <v>15</v>
      </c>
      <c r="F39" s="8">
        <v>102798215</v>
      </c>
      <c r="G39" s="2">
        <v>14320466</v>
      </c>
      <c r="H39" s="1">
        <v>1534527.1</v>
      </c>
      <c r="I39" s="6">
        <v>4116878</v>
      </c>
      <c r="J39" s="2">
        <f t="shared" si="3"/>
        <v>91060099.900000006</v>
      </c>
      <c r="K39" s="2">
        <v>607714.46</v>
      </c>
      <c r="L39" s="2">
        <v>0</v>
      </c>
      <c r="M39" s="2">
        <v>926812.64</v>
      </c>
      <c r="N39" s="2">
        <f t="shared" si="0"/>
        <v>0</v>
      </c>
      <c r="O39" s="1">
        <v>41943041.93</v>
      </c>
      <c r="P39" s="1">
        <v>187804380.22999999</v>
      </c>
      <c r="Q39" s="2" t="s">
        <v>12</v>
      </c>
      <c r="R39" s="2">
        <v>4.5</v>
      </c>
    </row>
    <row r="40" spans="1:18" x14ac:dyDescent="0.4">
      <c r="A40" s="7">
        <v>45672</v>
      </c>
      <c r="B40" s="2" t="s">
        <v>22</v>
      </c>
      <c r="C40" s="2">
        <v>2024</v>
      </c>
      <c r="D40" s="2">
        <v>12</v>
      </c>
      <c r="E40" s="2">
        <v>15</v>
      </c>
      <c r="F40" s="8">
        <v>239551736</v>
      </c>
      <c r="G40" s="2">
        <v>89399759</v>
      </c>
      <c r="H40" s="1">
        <v>1400933.33</v>
      </c>
      <c r="I40" s="6">
        <v>6913273</v>
      </c>
      <c r="J40" s="2">
        <f t="shared" si="3"/>
        <v>155664316.66999999</v>
      </c>
      <c r="K40" s="2">
        <v>369688.65</v>
      </c>
      <c r="L40" s="2">
        <v>0</v>
      </c>
      <c r="M40" s="2">
        <v>1031244.68</v>
      </c>
      <c r="N40" s="2">
        <f t="shared" si="0"/>
        <v>0</v>
      </c>
      <c r="O40" s="1">
        <v>38911826.460000001</v>
      </c>
      <c r="P40" s="1">
        <v>184398576.47999999</v>
      </c>
      <c r="Q40" s="2" t="s">
        <v>12</v>
      </c>
      <c r="R40" s="2">
        <v>4.5</v>
      </c>
    </row>
    <row r="41" spans="1:18" x14ac:dyDescent="0.4">
      <c r="A41" s="7">
        <v>45703</v>
      </c>
      <c r="B41" s="2" t="s">
        <v>22</v>
      </c>
      <c r="C41" s="2">
        <v>2025</v>
      </c>
      <c r="D41" s="2">
        <v>1</v>
      </c>
      <c r="E41" s="2">
        <v>15</v>
      </c>
      <c r="F41" s="8">
        <v>62325392</v>
      </c>
      <c r="G41" s="2">
        <v>14667565</v>
      </c>
      <c r="H41" s="1">
        <v>1134356.94</v>
      </c>
      <c r="I41" s="6">
        <v>1245001</v>
      </c>
      <c r="J41" s="2">
        <f t="shared" si="3"/>
        <v>47768471.060000002</v>
      </c>
      <c r="K41" s="2">
        <v>299190.44</v>
      </c>
      <c r="L41" s="2">
        <v>0</v>
      </c>
      <c r="M41" s="2">
        <v>885166.5</v>
      </c>
      <c r="N41" s="2">
        <f t="shared" si="0"/>
        <v>-50000</v>
      </c>
      <c r="O41" s="1">
        <v>93096891.519999996</v>
      </c>
      <c r="P41" s="1">
        <v>276145933.04000002</v>
      </c>
      <c r="Q41" s="2" t="s">
        <v>12</v>
      </c>
      <c r="R41" s="2">
        <v>4.5</v>
      </c>
    </row>
    <row r="42" spans="1:18" x14ac:dyDescent="0.4">
      <c r="A42" s="7">
        <v>45731</v>
      </c>
      <c r="B42" s="2" t="s">
        <v>22</v>
      </c>
      <c r="C42" s="2">
        <v>2025</v>
      </c>
      <c r="D42" s="2">
        <v>2</v>
      </c>
      <c r="E42" s="2">
        <v>15</v>
      </c>
      <c r="F42" s="8">
        <v>67076410</v>
      </c>
      <c r="G42" s="2">
        <v>14701230</v>
      </c>
      <c r="H42" s="1">
        <v>1118310.8700000001</v>
      </c>
      <c r="I42" s="6">
        <v>1435114</v>
      </c>
      <c r="J42" s="2">
        <f t="shared" si="3"/>
        <v>52691983.130000003</v>
      </c>
      <c r="K42" s="2">
        <v>326136.11</v>
      </c>
      <c r="L42" s="2">
        <v>0</v>
      </c>
      <c r="M42" s="2">
        <v>792174.76</v>
      </c>
      <c r="N42" s="2">
        <f t="shared" si="0"/>
        <v>0</v>
      </c>
      <c r="O42" s="9">
        <v>87383728.950000003</v>
      </c>
      <c r="P42" s="1">
        <v>270301736.62</v>
      </c>
      <c r="Q42" s="2" t="s">
        <v>12</v>
      </c>
      <c r="R42" s="2">
        <v>4.5</v>
      </c>
    </row>
    <row r="43" spans="1:18" x14ac:dyDescent="0.4">
      <c r="A43" s="7">
        <v>45762</v>
      </c>
      <c r="B43" s="2" t="s">
        <v>22</v>
      </c>
      <c r="C43" s="2">
        <v>2025</v>
      </c>
      <c r="D43" s="2">
        <v>3</v>
      </c>
      <c r="E43" s="2">
        <v>15</v>
      </c>
      <c r="F43" s="8">
        <v>115493516</v>
      </c>
      <c r="G43" s="2">
        <v>22523243</v>
      </c>
      <c r="H43" s="1">
        <v>1165303.05</v>
      </c>
      <c r="I43" s="6">
        <v>1745718</v>
      </c>
      <c r="J43" s="2">
        <f t="shared" si="3"/>
        <v>93550687.950000003</v>
      </c>
      <c r="K43" s="2">
        <v>310768.25</v>
      </c>
      <c r="L43" s="2">
        <v>0</v>
      </c>
      <c r="M43" s="2">
        <v>854534.8</v>
      </c>
      <c r="N43" s="2">
        <f t="shared" si="0"/>
        <v>0</v>
      </c>
      <c r="O43" s="1">
        <v>81186583.650000006</v>
      </c>
      <c r="P43" s="1">
        <v>262668336.56999999</v>
      </c>
      <c r="Q43" s="2" t="s">
        <v>12</v>
      </c>
      <c r="R43" s="2">
        <v>4.5</v>
      </c>
    </row>
    <row r="44" spans="1:18" x14ac:dyDescent="0.4">
      <c r="A44" s="7">
        <v>45792</v>
      </c>
      <c r="B44" s="2" t="s">
        <v>22</v>
      </c>
      <c r="C44" s="2">
        <v>2025</v>
      </c>
      <c r="D44" s="2">
        <v>4</v>
      </c>
      <c r="E44" s="2">
        <v>15</v>
      </c>
      <c r="F44" s="8">
        <v>74982312</v>
      </c>
      <c r="G44" s="2">
        <v>14483842</v>
      </c>
      <c r="H44" s="1">
        <v>1116447.4099999999</v>
      </c>
      <c r="I44" s="6">
        <v>2542113</v>
      </c>
      <c r="J44" s="2">
        <f t="shared" si="3"/>
        <v>61924135.590000004</v>
      </c>
      <c r="K44" s="2">
        <v>372119.06</v>
      </c>
      <c r="L44" s="2">
        <v>0</v>
      </c>
      <c r="M44" s="2">
        <v>794328.35</v>
      </c>
      <c r="N44" s="2">
        <f t="shared" si="0"/>
        <v>-50000.000000000116</v>
      </c>
      <c r="O44" s="1">
        <v>84093318.989999995</v>
      </c>
      <c r="P44" s="1">
        <v>265958308.09</v>
      </c>
      <c r="Q44" s="2" t="s">
        <v>12</v>
      </c>
      <c r="R44" s="2">
        <v>4.5</v>
      </c>
    </row>
    <row r="45" spans="1:18" x14ac:dyDescent="0.4">
      <c r="A45" s="7">
        <v>45823</v>
      </c>
      <c r="B45" s="2" t="s">
        <v>22</v>
      </c>
      <c r="C45" s="2">
        <v>2025</v>
      </c>
      <c r="D45" s="2">
        <v>5</v>
      </c>
      <c r="E45" s="2">
        <v>15</v>
      </c>
      <c r="F45" s="8">
        <v>126070115</v>
      </c>
      <c r="G45" s="2">
        <v>17317472</v>
      </c>
      <c r="H45" s="1">
        <v>1582634</v>
      </c>
      <c r="I45" s="6">
        <v>3338508</v>
      </c>
      <c r="J45" s="2">
        <f t="shared" si="3"/>
        <v>110508517</v>
      </c>
      <c r="K45" s="2">
        <v>763028.54</v>
      </c>
      <c r="L45" s="2">
        <v>0</v>
      </c>
      <c r="M45" s="2">
        <v>819605.46</v>
      </c>
      <c r="N45" s="2">
        <f t="shared" si="0"/>
        <v>0</v>
      </c>
      <c r="O45" s="1">
        <v>54537151.329999998</v>
      </c>
      <c r="P45" s="1">
        <v>234044365.72999999</v>
      </c>
      <c r="Q45" s="2" t="s">
        <v>12</v>
      </c>
      <c r="R45" s="2">
        <v>4.5</v>
      </c>
    </row>
    <row r="46" spans="1:18" x14ac:dyDescent="0.4">
      <c r="A46" s="7">
        <v>45853</v>
      </c>
      <c r="B46" s="2" t="s">
        <v>22</v>
      </c>
      <c r="C46" s="2">
        <v>2025</v>
      </c>
      <c r="D46" s="2">
        <v>6</v>
      </c>
      <c r="E46" s="2">
        <v>15</v>
      </c>
      <c r="F46" s="8">
        <v>117776448</v>
      </c>
      <c r="G46" s="2">
        <v>9217876</v>
      </c>
      <c r="H46" s="1">
        <v>1415889.05</v>
      </c>
      <c r="I46" s="6">
        <v>4134903</v>
      </c>
      <c r="J46" s="2">
        <f t="shared" si="3"/>
        <v>111277585.95</v>
      </c>
      <c r="K46" s="2">
        <v>537422.52</v>
      </c>
      <c r="L46" s="2">
        <v>0</v>
      </c>
      <c r="M46" s="2">
        <v>878466.53</v>
      </c>
      <c r="N46" s="2">
        <f t="shared" si="0"/>
        <v>0</v>
      </c>
      <c r="O46" s="1">
        <v>44390938.719999999</v>
      </c>
      <c r="P46" s="1">
        <v>226047624.65000001</v>
      </c>
      <c r="Q46" s="2" t="s">
        <v>12</v>
      </c>
      <c r="R46" s="2">
        <v>4.5</v>
      </c>
    </row>
    <row r="47" spans="1:18" x14ac:dyDescent="0.4">
      <c r="A47" s="7">
        <v>45884</v>
      </c>
      <c r="B47" s="2" t="s">
        <v>22</v>
      </c>
      <c r="C47" s="2">
        <v>2025</v>
      </c>
      <c r="D47" s="2">
        <v>7</v>
      </c>
      <c r="E47" s="2">
        <v>15</v>
      </c>
      <c r="F47" s="8">
        <v>96308823</v>
      </c>
      <c r="G47" s="2">
        <v>15968889</v>
      </c>
      <c r="H47" s="1">
        <v>1053314.6399999999</v>
      </c>
      <c r="I47" s="6">
        <v>4931298</v>
      </c>
      <c r="J47" s="2">
        <f t="shared" si="3"/>
        <v>84217917.359999999</v>
      </c>
      <c r="K47" s="2">
        <v>260756.4</v>
      </c>
      <c r="L47" s="2">
        <v>0</v>
      </c>
      <c r="M47" s="2">
        <v>842558.24</v>
      </c>
      <c r="N47" s="2">
        <f t="shared" si="0"/>
        <v>-50000.000000000116</v>
      </c>
      <c r="O47" s="1">
        <v>43632731.880000003</v>
      </c>
      <c r="P47" s="1">
        <v>224796095.22</v>
      </c>
      <c r="Q47" s="2" t="s">
        <v>12</v>
      </c>
      <c r="R47" s="2">
        <v>4.5</v>
      </c>
    </row>
    <row r="48" spans="1:18" x14ac:dyDescent="0.4">
      <c r="A48" s="7">
        <v>45915</v>
      </c>
      <c r="B48" s="2" t="s">
        <v>22</v>
      </c>
      <c r="C48" s="2">
        <v>2025</v>
      </c>
      <c r="D48" s="2">
        <v>8</v>
      </c>
      <c r="E48" s="2">
        <v>15</v>
      </c>
      <c r="F48" s="8">
        <v>172198719</v>
      </c>
      <c r="G48" s="2">
        <v>11385232</v>
      </c>
      <c r="H48" s="1">
        <v>1171599.23</v>
      </c>
      <c r="I48" s="6">
        <v>5727693</v>
      </c>
      <c r="J48" s="2">
        <f t="shared" si="3"/>
        <v>165369580.77000001</v>
      </c>
      <c r="K48" s="2">
        <v>219237.65</v>
      </c>
      <c r="L48" s="2">
        <v>0</v>
      </c>
      <c r="M48" s="2">
        <v>952361.58</v>
      </c>
      <c r="N48" s="2">
        <f t="shared" si="0"/>
        <v>0</v>
      </c>
      <c r="O48" s="1">
        <v>75280042.609999999</v>
      </c>
      <c r="P48" s="1">
        <v>225052885.09999999</v>
      </c>
      <c r="Q48" s="2" t="s">
        <v>12</v>
      </c>
      <c r="R48" s="2">
        <v>4.5</v>
      </c>
    </row>
    <row r="49" spans="1:18" x14ac:dyDescent="0.4">
      <c r="A49" s="7">
        <v>45945</v>
      </c>
      <c r="B49" s="2" t="s">
        <v>22</v>
      </c>
      <c r="C49" s="2">
        <v>2025</v>
      </c>
      <c r="D49" s="2">
        <v>9</v>
      </c>
      <c r="E49" s="2">
        <v>15</v>
      </c>
      <c r="F49" s="8">
        <v>111397513</v>
      </c>
      <c r="G49" s="2">
        <v>12437814</v>
      </c>
      <c r="H49" s="1">
        <v>1100862.57</v>
      </c>
      <c r="I49" s="6">
        <v>6524088</v>
      </c>
      <c r="J49" s="2">
        <f t="shared" si="3"/>
        <v>104382924.43000001</v>
      </c>
      <c r="K49" s="2">
        <v>229548.67</v>
      </c>
      <c r="L49" s="2">
        <v>0</v>
      </c>
      <c r="M49" s="2">
        <v>871313.9</v>
      </c>
      <c r="N49" s="2">
        <f t="shared" si="0"/>
        <v>0</v>
      </c>
      <c r="O49" s="1">
        <v>74505359.340000004</v>
      </c>
      <c r="P49" s="1">
        <v>222717291.40000001</v>
      </c>
      <c r="Q49" s="2" t="s">
        <v>12</v>
      </c>
      <c r="R49" s="2">
        <v>4.5</v>
      </c>
    </row>
    <row r="50" spans="1:18" x14ac:dyDescent="0.4">
      <c r="A50" s="7">
        <v>45976</v>
      </c>
      <c r="B50" s="2" t="s">
        <v>22</v>
      </c>
      <c r="C50" s="2">
        <v>2025</v>
      </c>
      <c r="D50" s="2">
        <v>10</v>
      </c>
      <c r="E50" s="2">
        <v>15</v>
      </c>
      <c r="F50" s="8">
        <v>161085695</v>
      </c>
      <c r="G50" s="2">
        <v>15878644</v>
      </c>
      <c r="H50" s="1">
        <v>1118718.8999999999</v>
      </c>
      <c r="I50" s="6">
        <v>5320483</v>
      </c>
      <c r="J50" s="2">
        <f t="shared" si="3"/>
        <v>149408815.09999999</v>
      </c>
      <c r="K50" s="2">
        <v>319288.03999999998</v>
      </c>
      <c r="L50" s="2">
        <v>0</v>
      </c>
      <c r="M50" s="2">
        <v>849430.86</v>
      </c>
      <c r="N50" s="2">
        <f t="shared" si="0"/>
        <v>-50000.000000000116</v>
      </c>
      <c r="O50" s="1">
        <v>39718144.520000003</v>
      </c>
      <c r="P50" s="1">
        <v>187737244.69</v>
      </c>
      <c r="Q50" s="2" t="s">
        <v>12</v>
      </c>
      <c r="R50" s="2">
        <v>4.5</v>
      </c>
    </row>
    <row r="51" spans="1:18" x14ac:dyDescent="0.4">
      <c r="A51" s="7">
        <v>46006</v>
      </c>
      <c r="B51" s="2" t="s">
        <v>22</v>
      </c>
      <c r="C51" s="2">
        <v>2025</v>
      </c>
      <c r="D51" s="2">
        <v>11</v>
      </c>
      <c r="E51" s="2">
        <v>15</v>
      </c>
      <c r="F51" s="8">
        <v>102798215</v>
      </c>
      <c r="G51" s="2">
        <v>14320466</v>
      </c>
      <c r="H51" s="1">
        <v>1534527.1</v>
      </c>
      <c r="I51" s="6">
        <v>4116878</v>
      </c>
      <c r="J51" s="2">
        <f t="shared" si="3"/>
        <v>91060099.900000006</v>
      </c>
      <c r="K51" s="2">
        <v>607714.46</v>
      </c>
      <c r="L51" s="2">
        <v>0</v>
      </c>
      <c r="M51" s="2">
        <v>926812.64</v>
      </c>
      <c r="N51" s="2">
        <f t="shared" si="0"/>
        <v>0</v>
      </c>
      <c r="O51" s="1">
        <v>41943041.93</v>
      </c>
      <c r="P51" s="1">
        <v>187804380.22999999</v>
      </c>
      <c r="Q51" s="2" t="s">
        <v>12</v>
      </c>
      <c r="R51" s="2">
        <v>4.5</v>
      </c>
    </row>
    <row r="52" spans="1:18" x14ac:dyDescent="0.4">
      <c r="A52" s="7">
        <v>46037</v>
      </c>
      <c r="B52" s="2" t="s">
        <v>22</v>
      </c>
      <c r="C52" s="2">
        <v>2025</v>
      </c>
      <c r="D52" s="2">
        <v>12</v>
      </c>
      <c r="E52" s="2">
        <v>15</v>
      </c>
      <c r="F52" s="8">
        <v>239551736</v>
      </c>
      <c r="G52" s="2">
        <v>89399759</v>
      </c>
      <c r="H52" s="1">
        <v>1400933.33</v>
      </c>
      <c r="I52" s="6">
        <v>6913273</v>
      </c>
      <c r="J52" s="2">
        <f t="shared" si="3"/>
        <v>155664316.66999999</v>
      </c>
      <c r="K52" s="2">
        <v>369688.65</v>
      </c>
      <c r="L52" s="2">
        <v>0</v>
      </c>
      <c r="M52" s="2">
        <v>1031244.68</v>
      </c>
      <c r="N52" s="2">
        <f t="shared" si="0"/>
        <v>0</v>
      </c>
      <c r="O52" s="1">
        <v>38911826.460000001</v>
      </c>
      <c r="P52" s="1">
        <v>184398576.47999999</v>
      </c>
      <c r="Q52" s="2" t="s">
        <v>12</v>
      </c>
      <c r="R52" s="2">
        <v>4.5</v>
      </c>
    </row>
    <row r="53" spans="1:18" x14ac:dyDescent="0.4">
      <c r="A53" s="7">
        <v>46068</v>
      </c>
      <c r="B53" s="2" t="s">
        <v>22</v>
      </c>
      <c r="C53" s="2">
        <v>2026</v>
      </c>
      <c r="D53" s="2">
        <v>1</v>
      </c>
      <c r="E53" s="2">
        <v>15</v>
      </c>
      <c r="F53" s="8">
        <v>62325392</v>
      </c>
      <c r="G53" s="2">
        <v>14667565</v>
      </c>
      <c r="H53" s="1">
        <v>1134356.94</v>
      </c>
      <c r="I53" s="6">
        <v>1245001</v>
      </c>
      <c r="J53" s="2">
        <f t="shared" ref="J53:J79" si="4">F53-G53-H53+I53</f>
        <v>47768471.060000002</v>
      </c>
      <c r="K53" s="2">
        <v>299190.44</v>
      </c>
      <c r="L53" s="2">
        <v>0</v>
      </c>
      <c r="M53" s="2">
        <v>885166.5</v>
      </c>
      <c r="N53" s="2">
        <f t="shared" si="0"/>
        <v>-50000</v>
      </c>
      <c r="O53" s="1">
        <v>93096891.519999996</v>
      </c>
      <c r="P53" s="1">
        <v>276145933.04000002</v>
      </c>
      <c r="Q53" s="2" t="s">
        <v>12</v>
      </c>
      <c r="R53" s="2">
        <v>4.5</v>
      </c>
    </row>
    <row r="54" spans="1:18" x14ac:dyDescent="0.4">
      <c r="A54" s="7">
        <v>46096</v>
      </c>
      <c r="B54" s="2" t="s">
        <v>22</v>
      </c>
      <c r="C54" s="2">
        <v>2026</v>
      </c>
      <c r="D54" s="2">
        <v>2</v>
      </c>
      <c r="E54" s="2">
        <v>15</v>
      </c>
      <c r="F54" s="8">
        <v>67076410</v>
      </c>
      <c r="G54" s="2">
        <v>14701230</v>
      </c>
      <c r="H54" s="1">
        <v>1118310.8700000001</v>
      </c>
      <c r="I54" s="6">
        <v>1435114</v>
      </c>
      <c r="J54" s="2">
        <f t="shared" si="4"/>
        <v>52691983.130000003</v>
      </c>
      <c r="K54" s="2">
        <v>326136.11</v>
      </c>
      <c r="L54" s="2">
        <v>0</v>
      </c>
      <c r="M54" s="2">
        <v>792174.76</v>
      </c>
      <c r="N54" s="2">
        <f t="shared" si="0"/>
        <v>0</v>
      </c>
      <c r="O54" s="9">
        <v>87383728.950000003</v>
      </c>
      <c r="P54" s="1">
        <v>270301736.62</v>
      </c>
      <c r="Q54" s="2" t="s">
        <v>12</v>
      </c>
      <c r="R54" s="2">
        <v>4.5</v>
      </c>
    </row>
    <row r="55" spans="1:18" x14ac:dyDescent="0.4">
      <c r="A55" s="7">
        <v>46127</v>
      </c>
      <c r="B55" s="2" t="s">
        <v>22</v>
      </c>
      <c r="C55" s="2">
        <v>2026</v>
      </c>
      <c r="D55" s="2">
        <v>3</v>
      </c>
      <c r="E55" s="2">
        <v>15</v>
      </c>
      <c r="F55" s="8">
        <v>115493516</v>
      </c>
      <c r="G55" s="2">
        <v>22523243</v>
      </c>
      <c r="H55" s="1">
        <v>1165303.05</v>
      </c>
      <c r="I55" s="6">
        <v>1745718</v>
      </c>
      <c r="J55" s="2">
        <f t="shared" si="4"/>
        <v>93550687.950000003</v>
      </c>
      <c r="K55" s="2">
        <v>310768.25</v>
      </c>
      <c r="L55" s="2">
        <v>0</v>
      </c>
      <c r="M55" s="2">
        <v>854534.8</v>
      </c>
      <c r="N55" s="2">
        <f t="shared" si="0"/>
        <v>0</v>
      </c>
      <c r="O55" s="1">
        <v>81186583.650000006</v>
      </c>
      <c r="P55" s="1">
        <v>262668336.56999999</v>
      </c>
      <c r="Q55" s="2" t="s">
        <v>12</v>
      </c>
      <c r="R55" s="2">
        <v>4.5</v>
      </c>
    </row>
    <row r="56" spans="1:18" x14ac:dyDescent="0.4">
      <c r="A56" s="7">
        <v>45337</v>
      </c>
      <c r="B56" s="2" t="s">
        <v>23</v>
      </c>
      <c r="C56" s="2">
        <v>2024</v>
      </c>
      <c r="D56" s="2">
        <v>1</v>
      </c>
      <c r="E56" s="2">
        <v>15</v>
      </c>
      <c r="F56" s="8">
        <v>62325392</v>
      </c>
      <c r="G56" s="2">
        <v>14667565</v>
      </c>
      <c r="H56" s="1">
        <v>1134356.94</v>
      </c>
      <c r="I56" s="6">
        <v>1245001</v>
      </c>
      <c r="J56" s="2">
        <f t="shared" si="4"/>
        <v>47768471.060000002</v>
      </c>
      <c r="K56" s="2">
        <v>299190.44</v>
      </c>
      <c r="L56" s="2">
        <v>0</v>
      </c>
      <c r="M56" s="2">
        <v>885166.5</v>
      </c>
      <c r="N56" s="2">
        <f t="shared" si="0"/>
        <v>-50000</v>
      </c>
      <c r="O56" s="1">
        <v>93096891.519999996</v>
      </c>
      <c r="P56" s="1">
        <v>276145933.04000002</v>
      </c>
      <c r="Q56" s="2" t="s">
        <v>17</v>
      </c>
      <c r="R56" s="2">
        <v>8.58</v>
      </c>
    </row>
    <row r="57" spans="1:18" x14ac:dyDescent="0.4">
      <c r="A57" s="7">
        <v>45366</v>
      </c>
      <c r="B57" s="2" t="s">
        <v>23</v>
      </c>
      <c r="C57" s="2">
        <v>2024</v>
      </c>
      <c r="D57" s="2">
        <v>2</v>
      </c>
      <c r="E57" s="2">
        <v>15</v>
      </c>
      <c r="F57" s="8">
        <v>67076410</v>
      </c>
      <c r="G57" s="2">
        <v>14701230</v>
      </c>
      <c r="H57" s="1">
        <v>1118310.8700000001</v>
      </c>
      <c r="I57" s="6">
        <v>1435114</v>
      </c>
      <c r="J57" s="2">
        <f t="shared" si="4"/>
        <v>52691983.130000003</v>
      </c>
      <c r="K57" s="2">
        <v>326136.11</v>
      </c>
      <c r="L57" s="2">
        <v>0</v>
      </c>
      <c r="M57" s="2">
        <v>792174.76</v>
      </c>
      <c r="N57" s="2">
        <f t="shared" si="0"/>
        <v>0</v>
      </c>
      <c r="O57" s="9">
        <v>87383728.950000003</v>
      </c>
      <c r="P57" s="1">
        <v>270301736.62</v>
      </c>
      <c r="Q57" s="2" t="s">
        <v>17</v>
      </c>
      <c r="R57" s="2">
        <v>8.58</v>
      </c>
    </row>
    <row r="58" spans="1:18" x14ac:dyDescent="0.4">
      <c r="A58" s="7">
        <v>45397</v>
      </c>
      <c r="B58" s="2" t="s">
        <v>23</v>
      </c>
      <c r="C58" s="2">
        <v>2024</v>
      </c>
      <c r="D58" s="2">
        <v>3</v>
      </c>
      <c r="E58" s="2">
        <v>15</v>
      </c>
      <c r="F58" s="8">
        <v>115493516</v>
      </c>
      <c r="G58" s="2">
        <v>22523243</v>
      </c>
      <c r="H58" s="1">
        <v>1165303.05</v>
      </c>
      <c r="I58" s="6">
        <v>1745718</v>
      </c>
      <c r="J58" s="2">
        <f t="shared" si="4"/>
        <v>93550687.950000003</v>
      </c>
      <c r="K58" s="2">
        <v>310768.25</v>
      </c>
      <c r="L58" s="2">
        <v>0</v>
      </c>
      <c r="M58" s="2">
        <v>854534.8</v>
      </c>
      <c r="N58" s="2">
        <f t="shared" si="0"/>
        <v>0</v>
      </c>
      <c r="O58" s="1">
        <v>81186583.650000006</v>
      </c>
      <c r="P58" s="1">
        <v>262668336.56999999</v>
      </c>
      <c r="Q58" s="2" t="s">
        <v>17</v>
      </c>
      <c r="R58" s="2">
        <v>8.58</v>
      </c>
    </row>
    <row r="59" spans="1:18" x14ac:dyDescent="0.4">
      <c r="A59" s="7">
        <v>45427</v>
      </c>
      <c r="B59" s="2" t="s">
        <v>23</v>
      </c>
      <c r="C59" s="2">
        <v>2024</v>
      </c>
      <c r="D59" s="2">
        <v>4</v>
      </c>
      <c r="E59" s="2">
        <v>15</v>
      </c>
      <c r="F59" s="8">
        <v>74982312</v>
      </c>
      <c r="G59" s="2">
        <v>14483842</v>
      </c>
      <c r="H59" s="1">
        <v>1116447.4099999999</v>
      </c>
      <c r="I59" s="6">
        <v>2542113</v>
      </c>
      <c r="J59" s="2">
        <f t="shared" si="4"/>
        <v>61924135.590000004</v>
      </c>
      <c r="K59" s="2">
        <v>372119.06</v>
      </c>
      <c r="L59" s="2">
        <v>0</v>
      </c>
      <c r="M59" s="2">
        <v>794328.35</v>
      </c>
      <c r="N59" s="2">
        <f t="shared" si="0"/>
        <v>-50000.000000000116</v>
      </c>
      <c r="O59" s="1">
        <v>84093318.989999995</v>
      </c>
      <c r="P59" s="1">
        <v>265958308.09</v>
      </c>
      <c r="Q59" s="2" t="s">
        <v>17</v>
      </c>
      <c r="R59" s="2">
        <v>8.58</v>
      </c>
    </row>
    <row r="60" spans="1:18" x14ac:dyDescent="0.4">
      <c r="A60" s="7">
        <v>45458</v>
      </c>
      <c r="B60" s="2" t="s">
        <v>23</v>
      </c>
      <c r="C60" s="2">
        <v>2024</v>
      </c>
      <c r="D60" s="2">
        <v>5</v>
      </c>
      <c r="E60" s="2">
        <v>15</v>
      </c>
      <c r="F60" s="8">
        <v>126070115</v>
      </c>
      <c r="G60" s="2">
        <v>17317472</v>
      </c>
      <c r="H60" s="1">
        <v>1582634</v>
      </c>
      <c r="I60" s="6">
        <v>3338508</v>
      </c>
      <c r="J60" s="2">
        <f t="shared" si="4"/>
        <v>110508517</v>
      </c>
      <c r="K60" s="2">
        <v>763028.54</v>
      </c>
      <c r="L60" s="2">
        <v>0</v>
      </c>
      <c r="M60" s="2">
        <v>819605.46</v>
      </c>
      <c r="N60" s="2">
        <f t="shared" si="0"/>
        <v>0</v>
      </c>
      <c r="O60" s="1">
        <v>54537151.329999998</v>
      </c>
      <c r="P60" s="1">
        <v>234044365.72999999</v>
      </c>
      <c r="Q60" s="2" t="s">
        <v>17</v>
      </c>
      <c r="R60" s="2">
        <v>8.58</v>
      </c>
    </row>
    <row r="61" spans="1:18" x14ac:dyDescent="0.4">
      <c r="A61" s="7">
        <v>45488</v>
      </c>
      <c r="B61" s="2" t="s">
        <v>23</v>
      </c>
      <c r="C61" s="2">
        <v>2024</v>
      </c>
      <c r="D61" s="2">
        <v>6</v>
      </c>
      <c r="E61" s="2">
        <v>15</v>
      </c>
      <c r="F61" s="8">
        <v>117776448</v>
      </c>
      <c r="G61" s="2">
        <v>9217876</v>
      </c>
      <c r="H61" s="1">
        <v>1415889.05</v>
      </c>
      <c r="I61" s="6">
        <v>4134903</v>
      </c>
      <c r="J61" s="2">
        <f t="shared" si="4"/>
        <v>111277585.95</v>
      </c>
      <c r="K61" s="2">
        <v>537422.52</v>
      </c>
      <c r="L61" s="2">
        <v>0</v>
      </c>
      <c r="M61" s="2">
        <v>878466.53</v>
      </c>
      <c r="N61" s="2">
        <f t="shared" si="0"/>
        <v>0</v>
      </c>
      <c r="O61" s="1">
        <v>44390938.719999999</v>
      </c>
      <c r="P61" s="1">
        <v>226047624.65000001</v>
      </c>
      <c r="Q61" s="2" t="s">
        <v>17</v>
      </c>
      <c r="R61" s="2">
        <v>8.58</v>
      </c>
    </row>
    <row r="62" spans="1:18" x14ac:dyDescent="0.4">
      <c r="A62" s="7">
        <v>45519</v>
      </c>
      <c r="B62" s="2" t="s">
        <v>23</v>
      </c>
      <c r="C62" s="2">
        <v>2024</v>
      </c>
      <c r="D62" s="2">
        <v>7</v>
      </c>
      <c r="E62" s="2">
        <v>15</v>
      </c>
      <c r="F62" s="8">
        <v>96308823</v>
      </c>
      <c r="G62" s="2">
        <v>15968889</v>
      </c>
      <c r="H62" s="1">
        <v>1053314.6399999999</v>
      </c>
      <c r="I62" s="6">
        <v>4931298</v>
      </c>
      <c r="J62" s="2">
        <f t="shared" si="4"/>
        <v>84217917.359999999</v>
      </c>
      <c r="K62" s="2">
        <v>260756.4</v>
      </c>
      <c r="L62" s="2">
        <v>0</v>
      </c>
      <c r="M62" s="2">
        <v>842558.24</v>
      </c>
      <c r="N62" s="2">
        <f t="shared" si="0"/>
        <v>-50000.000000000116</v>
      </c>
      <c r="O62" s="1">
        <v>43632731.880000003</v>
      </c>
      <c r="P62" s="1">
        <v>224796095.22</v>
      </c>
      <c r="Q62" s="2" t="s">
        <v>17</v>
      </c>
      <c r="R62" s="2">
        <v>8.58</v>
      </c>
    </row>
    <row r="63" spans="1:18" x14ac:dyDescent="0.4">
      <c r="A63" s="7">
        <v>45550</v>
      </c>
      <c r="B63" s="2" t="s">
        <v>23</v>
      </c>
      <c r="C63" s="2">
        <v>2024</v>
      </c>
      <c r="D63" s="2">
        <v>8</v>
      </c>
      <c r="E63" s="2">
        <v>15</v>
      </c>
      <c r="F63" s="8">
        <v>172198719</v>
      </c>
      <c r="G63" s="2">
        <v>11385232</v>
      </c>
      <c r="H63" s="1">
        <v>1171599.23</v>
      </c>
      <c r="I63" s="6">
        <v>5727693</v>
      </c>
      <c r="J63" s="2">
        <f t="shared" si="4"/>
        <v>165369580.77000001</v>
      </c>
      <c r="K63" s="2">
        <v>219237.65</v>
      </c>
      <c r="L63" s="2">
        <v>0</v>
      </c>
      <c r="M63" s="2">
        <v>952361.58</v>
      </c>
      <c r="N63" s="2">
        <f t="shared" si="0"/>
        <v>0</v>
      </c>
      <c r="O63" s="1">
        <v>75280042.609999999</v>
      </c>
      <c r="P63" s="1">
        <v>225052885.09999999</v>
      </c>
      <c r="Q63" s="2" t="s">
        <v>17</v>
      </c>
      <c r="R63" s="2">
        <v>8.58</v>
      </c>
    </row>
    <row r="64" spans="1:18" x14ac:dyDescent="0.4">
      <c r="A64" s="7">
        <v>45580</v>
      </c>
      <c r="B64" s="2" t="s">
        <v>23</v>
      </c>
      <c r="C64" s="2">
        <v>2024</v>
      </c>
      <c r="D64" s="2">
        <v>9</v>
      </c>
      <c r="E64" s="2">
        <v>15</v>
      </c>
      <c r="F64" s="8">
        <v>111397513</v>
      </c>
      <c r="G64" s="2">
        <v>12437814</v>
      </c>
      <c r="H64" s="1">
        <v>1100862.57</v>
      </c>
      <c r="I64" s="6">
        <v>6524088</v>
      </c>
      <c r="J64" s="2">
        <f t="shared" si="4"/>
        <v>104382924.43000001</v>
      </c>
      <c r="K64" s="2">
        <v>229548.67</v>
      </c>
      <c r="L64" s="2">
        <v>0</v>
      </c>
      <c r="M64" s="2">
        <v>871313.9</v>
      </c>
      <c r="N64" s="2">
        <f t="shared" si="0"/>
        <v>0</v>
      </c>
      <c r="O64" s="1">
        <v>74505359.340000004</v>
      </c>
      <c r="P64" s="1">
        <v>222717291.40000001</v>
      </c>
      <c r="Q64" s="2" t="s">
        <v>17</v>
      </c>
      <c r="R64" s="2">
        <v>8.58</v>
      </c>
    </row>
    <row r="65" spans="1:18" x14ac:dyDescent="0.4">
      <c r="A65" s="7">
        <v>45611</v>
      </c>
      <c r="B65" s="2" t="s">
        <v>23</v>
      </c>
      <c r="C65" s="2">
        <v>2024</v>
      </c>
      <c r="D65" s="2">
        <v>10</v>
      </c>
      <c r="E65" s="2">
        <v>15</v>
      </c>
      <c r="F65" s="8">
        <v>161085695</v>
      </c>
      <c r="G65" s="2">
        <v>15878644</v>
      </c>
      <c r="H65" s="1">
        <v>1118718.8999999999</v>
      </c>
      <c r="I65" s="6">
        <v>5320483</v>
      </c>
      <c r="J65" s="2">
        <f t="shared" si="4"/>
        <v>149408815.09999999</v>
      </c>
      <c r="K65" s="2">
        <v>319288.03999999998</v>
      </c>
      <c r="L65" s="2">
        <v>0</v>
      </c>
      <c r="M65" s="2">
        <v>849430.86</v>
      </c>
      <c r="N65" s="2">
        <f t="shared" si="0"/>
        <v>-50000.000000000116</v>
      </c>
      <c r="O65" s="1">
        <v>39718144.520000003</v>
      </c>
      <c r="P65" s="1">
        <v>187737244.69</v>
      </c>
      <c r="Q65" s="2" t="s">
        <v>17</v>
      </c>
      <c r="R65" s="2">
        <v>8.58</v>
      </c>
    </row>
    <row r="66" spans="1:18" x14ac:dyDescent="0.4">
      <c r="A66" s="7">
        <v>45641</v>
      </c>
      <c r="B66" s="2" t="s">
        <v>23</v>
      </c>
      <c r="C66" s="2">
        <v>2024</v>
      </c>
      <c r="D66" s="2">
        <v>11</v>
      </c>
      <c r="E66" s="2">
        <v>15</v>
      </c>
      <c r="F66" s="8">
        <v>102798215</v>
      </c>
      <c r="G66" s="2">
        <v>14320466</v>
      </c>
      <c r="H66" s="1">
        <v>1534527.1</v>
      </c>
      <c r="I66" s="6">
        <v>4116878</v>
      </c>
      <c r="J66" s="2">
        <f t="shared" si="4"/>
        <v>91060099.900000006</v>
      </c>
      <c r="K66" s="2">
        <v>607714.46</v>
      </c>
      <c r="L66" s="2">
        <v>0</v>
      </c>
      <c r="M66" s="2">
        <v>926812.64</v>
      </c>
      <c r="N66" s="2">
        <f t="shared" ref="N66:N82" si="5">H66-K66-M66</f>
        <v>0</v>
      </c>
      <c r="O66" s="1">
        <v>41943041.93</v>
      </c>
      <c r="P66" s="1">
        <v>187804380.22999999</v>
      </c>
      <c r="Q66" s="2" t="s">
        <v>17</v>
      </c>
      <c r="R66" s="2">
        <v>8.58</v>
      </c>
    </row>
    <row r="67" spans="1:18" x14ac:dyDescent="0.4">
      <c r="A67" s="7">
        <v>45672</v>
      </c>
      <c r="B67" s="2" t="s">
        <v>23</v>
      </c>
      <c r="C67" s="2">
        <v>2024</v>
      </c>
      <c r="D67" s="2">
        <v>12</v>
      </c>
      <c r="E67" s="2">
        <v>15</v>
      </c>
      <c r="F67" s="8">
        <v>239551736</v>
      </c>
      <c r="G67" s="2">
        <v>89399759</v>
      </c>
      <c r="H67" s="1">
        <v>1400933.33</v>
      </c>
      <c r="I67" s="6">
        <v>6913273</v>
      </c>
      <c r="J67" s="2">
        <f t="shared" si="4"/>
        <v>155664316.66999999</v>
      </c>
      <c r="K67" s="2">
        <v>369688.65</v>
      </c>
      <c r="L67" s="2">
        <v>0</v>
      </c>
      <c r="M67" s="2">
        <v>1031244.68</v>
      </c>
      <c r="N67" s="2">
        <f t="shared" si="5"/>
        <v>0</v>
      </c>
      <c r="O67" s="1">
        <v>38911826.460000001</v>
      </c>
      <c r="P67" s="1">
        <v>184398576.47999999</v>
      </c>
      <c r="Q67" s="2" t="s">
        <v>17</v>
      </c>
      <c r="R67" s="2">
        <v>8.58</v>
      </c>
    </row>
    <row r="68" spans="1:18" x14ac:dyDescent="0.4">
      <c r="A68" s="7">
        <v>45703</v>
      </c>
      <c r="B68" s="2" t="s">
        <v>23</v>
      </c>
      <c r="C68" s="2">
        <v>2025</v>
      </c>
      <c r="D68" s="2">
        <v>1</v>
      </c>
      <c r="E68" s="2">
        <v>15</v>
      </c>
      <c r="F68" s="8">
        <v>62325392</v>
      </c>
      <c r="G68" s="2">
        <v>14667565</v>
      </c>
      <c r="H68" s="1">
        <v>1134356.94</v>
      </c>
      <c r="I68" s="6">
        <v>1245001</v>
      </c>
      <c r="J68" s="2">
        <f t="shared" si="4"/>
        <v>47768471.060000002</v>
      </c>
      <c r="K68" s="2">
        <v>299190.44</v>
      </c>
      <c r="L68" s="2">
        <v>0</v>
      </c>
      <c r="M68" s="2">
        <v>885166.5</v>
      </c>
      <c r="N68" s="2">
        <f t="shared" si="5"/>
        <v>-50000</v>
      </c>
      <c r="O68" s="1">
        <v>93096891.519999996</v>
      </c>
      <c r="P68" s="1">
        <v>276145933.04000002</v>
      </c>
      <c r="Q68" s="2" t="s">
        <v>17</v>
      </c>
      <c r="R68" s="2">
        <v>8.58</v>
      </c>
    </row>
    <row r="69" spans="1:18" x14ac:dyDescent="0.4">
      <c r="A69" s="7">
        <v>45731</v>
      </c>
      <c r="B69" s="2" t="s">
        <v>23</v>
      </c>
      <c r="C69" s="2">
        <v>2025</v>
      </c>
      <c r="D69" s="2">
        <v>2</v>
      </c>
      <c r="E69" s="2">
        <v>15</v>
      </c>
      <c r="F69" s="8">
        <v>67076410</v>
      </c>
      <c r="G69" s="2">
        <v>14701230</v>
      </c>
      <c r="H69" s="1">
        <v>1118310.8700000001</v>
      </c>
      <c r="I69" s="6">
        <v>1435114</v>
      </c>
      <c r="J69" s="2">
        <f t="shared" si="4"/>
        <v>52691983.130000003</v>
      </c>
      <c r="K69" s="2">
        <v>326136.11</v>
      </c>
      <c r="L69" s="2">
        <v>0</v>
      </c>
      <c r="M69" s="2">
        <v>792174.76</v>
      </c>
      <c r="N69" s="2">
        <f t="shared" si="5"/>
        <v>0</v>
      </c>
      <c r="O69" s="9">
        <v>87383728.950000003</v>
      </c>
      <c r="P69" s="1">
        <v>270301736.62</v>
      </c>
      <c r="Q69" s="2" t="s">
        <v>17</v>
      </c>
      <c r="R69" s="2">
        <v>8.58</v>
      </c>
    </row>
    <row r="70" spans="1:18" x14ac:dyDescent="0.4">
      <c r="A70" s="7">
        <v>45762</v>
      </c>
      <c r="B70" s="2" t="s">
        <v>23</v>
      </c>
      <c r="C70" s="2">
        <v>2025</v>
      </c>
      <c r="D70" s="2">
        <v>3</v>
      </c>
      <c r="E70" s="2">
        <v>15</v>
      </c>
      <c r="F70" s="8">
        <v>115493516</v>
      </c>
      <c r="G70" s="2">
        <v>22523243</v>
      </c>
      <c r="H70" s="1">
        <v>1165303.05</v>
      </c>
      <c r="I70" s="6">
        <v>1745718</v>
      </c>
      <c r="J70" s="2">
        <f t="shared" si="4"/>
        <v>93550687.950000003</v>
      </c>
      <c r="K70" s="2">
        <v>310768.25</v>
      </c>
      <c r="L70" s="2">
        <v>0</v>
      </c>
      <c r="M70" s="2">
        <v>854534.8</v>
      </c>
      <c r="N70" s="2">
        <f t="shared" si="5"/>
        <v>0</v>
      </c>
      <c r="O70" s="1">
        <v>81186583.650000006</v>
      </c>
      <c r="P70" s="1">
        <v>262668336.56999999</v>
      </c>
      <c r="Q70" s="2" t="s">
        <v>17</v>
      </c>
      <c r="R70" s="2">
        <v>8.58</v>
      </c>
    </row>
    <row r="71" spans="1:18" x14ac:dyDescent="0.4">
      <c r="A71" s="7">
        <v>45792</v>
      </c>
      <c r="B71" s="2" t="s">
        <v>23</v>
      </c>
      <c r="C71" s="2">
        <v>2025</v>
      </c>
      <c r="D71" s="2">
        <v>4</v>
      </c>
      <c r="E71" s="2">
        <v>15</v>
      </c>
      <c r="F71" s="8">
        <v>74982312</v>
      </c>
      <c r="G71" s="2">
        <v>14483842</v>
      </c>
      <c r="H71" s="1">
        <v>1116447.4099999999</v>
      </c>
      <c r="I71" s="6">
        <v>2542113</v>
      </c>
      <c r="J71" s="2">
        <f t="shared" si="4"/>
        <v>61924135.590000004</v>
      </c>
      <c r="K71" s="2">
        <v>372119.06</v>
      </c>
      <c r="L71" s="2">
        <v>0</v>
      </c>
      <c r="M71" s="2">
        <v>794328.35</v>
      </c>
      <c r="N71" s="2">
        <f t="shared" si="5"/>
        <v>-50000.000000000116</v>
      </c>
      <c r="O71" s="1">
        <v>84093318.989999995</v>
      </c>
      <c r="P71" s="1">
        <v>265958308.09</v>
      </c>
      <c r="Q71" s="2" t="s">
        <v>17</v>
      </c>
      <c r="R71" s="2">
        <v>8.58</v>
      </c>
    </row>
    <row r="72" spans="1:18" x14ac:dyDescent="0.4">
      <c r="A72" s="7">
        <v>45823</v>
      </c>
      <c r="B72" s="2" t="s">
        <v>23</v>
      </c>
      <c r="C72" s="2">
        <v>2025</v>
      </c>
      <c r="D72" s="2">
        <v>5</v>
      </c>
      <c r="E72" s="2">
        <v>15</v>
      </c>
      <c r="F72" s="8">
        <v>126070115</v>
      </c>
      <c r="G72" s="2">
        <v>17317472</v>
      </c>
      <c r="H72" s="1">
        <v>1582634</v>
      </c>
      <c r="I72" s="6">
        <v>3338508</v>
      </c>
      <c r="J72" s="2">
        <f t="shared" si="4"/>
        <v>110508517</v>
      </c>
      <c r="K72" s="2">
        <v>763028.54</v>
      </c>
      <c r="L72" s="2">
        <v>0</v>
      </c>
      <c r="M72" s="2">
        <v>819605.46</v>
      </c>
      <c r="N72" s="2">
        <f t="shared" si="5"/>
        <v>0</v>
      </c>
      <c r="O72" s="1">
        <v>54537151.329999998</v>
      </c>
      <c r="P72" s="1">
        <v>234044365.72999999</v>
      </c>
      <c r="Q72" s="2" t="s">
        <v>17</v>
      </c>
      <c r="R72" s="2">
        <v>8.58</v>
      </c>
    </row>
    <row r="73" spans="1:18" x14ac:dyDescent="0.4">
      <c r="A73" s="7">
        <v>45853</v>
      </c>
      <c r="B73" s="2" t="s">
        <v>23</v>
      </c>
      <c r="C73" s="2">
        <v>2025</v>
      </c>
      <c r="D73" s="2">
        <v>6</v>
      </c>
      <c r="E73" s="2">
        <v>15</v>
      </c>
      <c r="F73" s="8">
        <v>117776448</v>
      </c>
      <c r="G73" s="2">
        <v>9217876</v>
      </c>
      <c r="H73" s="1">
        <v>1415889.05</v>
      </c>
      <c r="I73" s="6">
        <v>4134903</v>
      </c>
      <c r="J73" s="2">
        <f t="shared" si="4"/>
        <v>111277585.95</v>
      </c>
      <c r="K73" s="2">
        <v>537422.52</v>
      </c>
      <c r="L73" s="2">
        <v>0</v>
      </c>
      <c r="M73" s="2">
        <v>878466.53</v>
      </c>
      <c r="N73" s="2">
        <f t="shared" si="5"/>
        <v>0</v>
      </c>
      <c r="O73" s="1">
        <v>44390938.719999999</v>
      </c>
      <c r="P73" s="1">
        <v>226047624.65000001</v>
      </c>
      <c r="Q73" s="2" t="s">
        <v>17</v>
      </c>
      <c r="R73" s="2">
        <v>8.58</v>
      </c>
    </row>
    <row r="74" spans="1:18" x14ac:dyDescent="0.4">
      <c r="A74" s="7">
        <v>45884</v>
      </c>
      <c r="B74" s="2" t="s">
        <v>23</v>
      </c>
      <c r="C74" s="2">
        <v>2025</v>
      </c>
      <c r="D74" s="2">
        <v>7</v>
      </c>
      <c r="E74" s="2">
        <v>15</v>
      </c>
      <c r="F74" s="8">
        <v>96308823</v>
      </c>
      <c r="G74" s="2">
        <v>15968889</v>
      </c>
      <c r="H74" s="1">
        <v>1053314.6399999999</v>
      </c>
      <c r="I74" s="6">
        <v>4931298</v>
      </c>
      <c r="J74" s="2">
        <f t="shared" si="4"/>
        <v>84217917.359999999</v>
      </c>
      <c r="K74" s="2">
        <v>260756.4</v>
      </c>
      <c r="L74" s="2">
        <v>0</v>
      </c>
      <c r="M74" s="2">
        <v>842558.24</v>
      </c>
      <c r="N74" s="2">
        <f t="shared" si="5"/>
        <v>-50000.000000000116</v>
      </c>
      <c r="O74" s="1">
        <v>43632731.880000003</v>
      </c>
      <c r="P74" s="1">
        <v>224796095.22</v>
      </c>
      <c r="Q74" s="2" t="s">
        <v>17</v>
      </c>
      <c r="R74" s="2">
        <v>8.58</v>
      </c>
    </row>
    <row r="75" spans="1:18" x14ac:dyDescent="0.4">
      <c r="A75" s="7">
        <v>45915</v>
      </c>
      <c r="B75" s="2" t="s">
        <v>23</v>
      </c>
      <c r="C75" s="2">
        <v>2025</v>
      </c>
      <c r="D75" s="2">
        <v>8</v>
      </c>
      <c r="E75" s="2">
        <v>15</v>
      </c>
      <c r="F75" s="8">
        <v>172198719</v>
      </c>
      <c r="G75" s="2">
        <v>11385232</v>
      </c>
      <c r="H75" s="1">
        <v>1171599.23</v>
      </c>
      <c r="I75" s="6">
        <v>5727693</v>
      </c>
      <c r="J75" s="2">
        <f t="shared" si="4"/>
        <v>165369580.77000001</v>
      </c>
      <c r="K75" s="2">
        <v>219237.65</v>
      </c>
      <c r="L75" s="2">
        <v>0</v>
      </c>
      <c r="M75" s="2">
        <v>952361.58</v>
      </c>
      <c r="N75" s="2">
        <f t="shared" si="5"/>
        <v>0</v>
      </c>
      <c r="O75" s="1">
        <v>75280042.609999999</v>
      </c>
      <c r="P75" s="1">
        <v>225052885.09999999</v>
      </c>
      <c r="Q75" s="2" t="s">
        <v>17</v>
      </c>
      <c r="R75" s="2">
        <v>8.58</v>
      </c>
    </row>
    <row r="76" spans="1:18" x14ac:dyDescent="0.4">
      <c r="A76" s="7">
        <v>45945</v>
      </c>
      <c r="B76" s="2" t="s">
        <v>23</v>
      </c>
      <c r="C76" s="2">
        <v>2025</v>
      </c>
      <c r="D76" s="2">
        <v>9</v>
      </c>
      <c r="E76" s="2">
        <v>15</v>
      </c>
      <c r="F76" s="8">
        <v>111397513</v>
      </c>
      <c r="G76" s="2">
        <v>12437814</v>
      </c>
      <c r="H76" s="1">
        <v>1100862.57</v>
      </c>
      <c r="I76" s="6">
        <v>6524088</v>
      </c>
      <c r="J76" s="2">
        <f t="shared" si="4"/>
        <v>104382924.43000001</v>
      </c>
      <c r="K76" s="2">
        <v>229548.67</v>
      </c>
      <c r="L76" s="2">
        <v>0</v>
      </c>
      <c r="M76" s="2">
        <v>871313.9</v>
      </c>
      <c r="N76" s="2">
        <f t="shared" si="5"/>
        <v>0</v>
      </c>
      <c r="O76" s="1">
        <v>74505359.340000004</v>
      </c>
      <c r="P76" s="1">
        <v>222717291.40000001</v>
      </c>
      <c r="Q76" s="2" t="s">
        <v>17</v>
      </c>
      <c r="R76" s="2">
        <v>8.58</v>
      </c>
    </row>
    <row r="77" spans="1:18" x14ac:dyDescent="0.4">
      <c r="A77" s="7">
        <v>45976</v>
      </c>
      <c r="B77" s="2" t="s">
        <v>23</v>
      </c>
      <c r="C77" s="2">
        <v>2025</v>
      </c>
      <c r="D77" s="2">
        <v>10</v>
      </c>
      <c r="E77" s="2">
        <v>15</v>
      </c>
      <c r="F77" s="8">
        <v>161085695</v>
      </c>
      <c r="G77" s="2">
        <v>15878644</v>
      </c>
      <c r="H77" s="1">
        <v>1118718.8999999999</v>
      </c>
      <c r="I77" s="6">
        <v>5320483</v>
      </c>
      <c r="J77" s="2">
        <f t="shared" si="4"/>
        <v>149408815.09999999</v>
      </c>
      <c r="K77" s="2">
        <v>319288.03999999998</v>
      </c>
      <c r="L77" s="2">
        <v>0</v>
      </c>
      <c r="M77" s="2">
        <v>849430.86</v>
      </c>
      <c r="N77" s="2">
        <f t="shared" si="5"/>
        <v>-50000.000000000116</v>
      </c>
      <c r="O77" s="1">
        <v>39718144.520000003</v>
      </c>
      <c r="P77" s="1">
        <v>187737244.69</v>
      </c>
      <c r="Q77" s="2" t="s">
        <v>17</v>
      </c>
      <c r="R77" s="2">
        <v>8.58</v>
      </c>
    </row>
    <row r="78" spans="1:18" x14ac:dyDescent="0.4">
      <c r="A78" s="7">
        <v>46006</v>
      </c>
      <c r="B78" s="2" t="s">
        <v>23</v>
      </c>
      <c r="C78" s="2">
        <v>2025</v>
      </c>
      <c r="D78" s="2">
        <v>11</v>
      </c>
      <c r="E78" s="2">
        <v>15</v>
      </c>
      <c r="F78" s="8">
        <v>102798215</v>
      </c>
      <c r="G78" s="2">
        <v>14320466</v>
      </c>
      <c r="H78" s="1">
        <v>1534527.1</v>
      </c>
      <c r="I78" s="6">
        <v>4116878</v>
      </c>
      <c r="J78" s="2">
        <f t="shared" si="4"/>
        <v>91060099.900000006</v>
      </c>
      <c r="K78" s="2">
        <v>607714.46</v>
      </c>
      <c r="L78" s="2">
        <v>0</v>
      </c>
      <c r="M78" s="2">
        <v>926812.64</v>
      </c>
      <c r="N78" s="2">
        <f t="shared" si="5"/>
        <v>0</v>
      </c>
      <c r="O78" s="1">
        <v>41943041.93</v>
      </c>
      <c r="P78" s="1">
        <v>187804380.22999999</v>
      </c>
      <c r="Q78" s="2" t="s">
        <v>17</v>
      </c>
      <c r="R78" s="2">
        <v>8.58</v>
      </c>
    </row>
    <row r="79" spans="1:18" x14ac:dyDescent="0.4">
      <c r="A79" s="7">
        <v>46037</v>
      </c>
      <c r="B79" s="2" t="s">
        <v>23</v>
      </c>
      <c r="C79" s="2">
        <v>2025</v>
      </c>
      <c r="D79" s="2">
        <v>12</v>
      </c>
      <c r="E79" s="2">
        <v>15</v>
      </c>
      <c r="F79" s="8">
        <v>239551736</v>
      </c>
      <c r="G79" s="2">
        <v>89399759</v>
      </c>
      <c r="H79" s="1">
        <v>1400933.33</v>
      </c>
      <c r="I79" s="6">
        <v>6913273</v>
      </c>
      <c r="J79" s="2">
        <f t="shared" si="4"/>
        <v>155664316.66999999</v>
      </c>
      <c r="K79" s="2">
        <v>369688.65</v>
      </c>
      <c r="L79" s="2">
        <v>0</v>
      </c>
      <c r="M79" s="2">
        <v>1031244.68</v>
      </c>
      <c r="N79" s="2">
        <f t="shared" si="5"/>
        <v>0</v>
      </c>
      <c r="O79" s="1">
        <v>38911826.460000001</v>
      </c>
      <c r="P79" s="1">
        <v>184398576.47999999</v>
      </c>
      <c r="Q79" s="2" t="s">
        <v>17</v>
      </c>
      <c r="R79" s="2">
        <v>8.58</v>
      </c>
    </row>
    <row r="80" spans="1:18" x14ac:dyDescent="0.4">
      <c r="A80" s="7">
        <v>46068</v>
      </c>
      <c r="B80" s="2" t="s">
        <v>23</v>
      </c>
      <c r="C80" s="2">
        <v>2026</v>
      </c>
      <c r="D80" s="2">
        <v>1</v>
      </c>
      <c r="E80" s="2">
        <v>15</v>
      </c>
      <c r="F80" s="8">
        <v>62325392</v>
      </c>
      <c r="G80" s="2">
        <v>14667565</v>
      </c>
      <c r="H80" s="1">
        <v>1134356.94</v>
      </c>
      <c r="I80" s="6">
        <v>1245001</v>
      </c>
      <c r="J80" s="2">
        <f t="shared" ref="J80:J82" si="6">F80-G80-H80+I80</f>
        <v>47768471.060000002</v>
      </c>
      <c r="K80" s="2">
        <v>299190.44</v>
      </c>
      <c r="L80" s="2">
        <v>0</v>
      </c>
      <c r="M80" s="2">
        <v>885166.5</v>
      </c>
      <c r="N80" s="2">
        <f t="shared" si="5"/>
        <v>-50000</v>
      </c>
      <c r="O80" s="1">
        <v>93096891.519999996</v>
      </c>
      <c r="P80" s="1">
        <v>276145933.04000002</v>
      </c>
      <c r="Q80" s="2" t="s">
        <v>17</v>
      </c>
      <c r="R80" s="2">
        <v>8.58</v>
      </c>
    </row>
    <row r="81" spans="1:18" x14ac:dyDescent="0.4">
      <c r="A81" s="7">
        <v>46096</v>
      </c>
      <c r="B81" s="2" t="s">
        <v>23</v>
      </c>
      <c r="C81" s="2">
        <v>2026</v>
      </c>
      <c r="D81" s="2">
        <v>2</v>
      </c>
      <c r="E81" s="2">
        <v>15</v>
      </c>
      <c r="F81" s="8">
        <v>67076410</v>
      </c>
      <c r="G81" s="2">
        <v>14701230</v>
      </c>
      <c r="H81" s="1">
        <v>1118310.8700000001</v>
      </c>
      <c r="I81" s="6">
        <v>1435114</v>
      </c>
      <c r="J81" s="2">
        <f t="shared" si="6"/>
        <v>52691983.130000003</v>
      </c>
      <c r="K81" s="2">
        <v>326136.11</v>
      </c>
      <c r="L81" s="2">
        <v>0</v>
      </c>
      <c r="M81" s="2">
        <v>792174.76</v>
      </c>
      <c r="N81" s="2">
        <f t="shared" si="5"/>
        <v>0</v>
      </c>
      <c r="O81" s="9">
        <v>87383728.950000003</v>
      </c>
      <c r="P81" s="1">
        <v>270301736.62</v>
      </c>
      <c r="Q81" s="2" t="s">
        <v>17</v>
      </c>
      <c r="R81" s="2">
        <v>8.58</v>
      </c>
    </row>
    <row r="82" spans="1:18" x14ac:dyDescent="0.4">
      <c r="A82" s="7">
        <v>46127</v>
      </c>
      <c r="B82" s="2" t="s">
        <v>23</v>
      </c>
      <c r="C82" s="2">
        <v>2026</v>
      </c>
      <c r="D82" s="2">
        <v>3</v>
      </c>
      <c r="E82" s="2">
        <v>15</v>
      </c>
      <c r="F82" s="8">
        <v>115493516</v>
      </c>
      <c r="G82" s="2">
        <v>22523243</v>
      </c>
      <c r="H82" s="1">
        <v>1165303.05</v>
      </c>
      <c r="I82" s="6">
        <v>1745718</v>
      </c>
      <c r="J82" s="2">
        <f t="shared" si="6"/>
        <v>93550687.950000003</v>
      </c>
      <c r="K82" s="2">
        <v>310768.25</v>
      </c>
      <c r="L82" s="2">
        <v>0</v>
      </c>
      <c r="M82" s="2">
        <v>854534.8</v>
      </c>
      <c r="N82" s="2">
        <f t="shared" si="5"/>
        <v>0</v>
      </c>
      <c r="O82" s="1">
        <v>81186583.650000006</v>
      </c>
      <c r="P82" s="1">
        <v>262668336.56999999</v>
      </c>
      <c r="Q82" s="2" t="s">
        <v>17</v>
      </c>
      <c r="R82" s="2">
        <v>8.58</v>
      </c>
    </row>
  </sheetData>
  <autoFilter ref="A1:R82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409385-d763-4d76-b9cc-eb605ecdc27c" xsi:nil="true"/>
    <lcf76f155ced4ddcb4097134ff3c332f xmlns="e6be2b2b-7b8f-4d35-85d1-8ab6c611ee7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5504B8C9479FB04AB71CC52A9016F161" ma:contentTypeVersion="9" ma:contentTypeDescription="建立新的文件。" ma:contentTypeScope="" ma:versionID="00d9ce934cd4ab65cb2c0b438224bf7a">
  <xsd:schema xmlns:xsd="http://www.w3.org/2001/XMLSchema" xmlns:xs="http://www.w3.org/2001/XMLSchema" xmlns:p="http://schemas.microsoft.com/office/2006/metadata/properties" xmlns:ns2="e6be2b2b-7b8f-4d35-85d1-8ab6c611ee7c" xmlns:ns3="34409385-d763-4d76-b9cc-eb605ecdc27c" targetNamespace="http://schemas.microsoft.com/office/2006/metadata/properties" ma:root="true" ma:fieldsID="c6c37b771be76d5116fb93cbdaa3238b" ns2:_="" ns3:_="">
    <xsd:import namespace="e6be2b2b-7b8f-4d35-85d1-8ab6c611ee7c"/>
    <xsd:import namespace="34409385-d763-4d76-b9cc-eb605ecdc2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be2b2b-7b8f-4d35-85d1-8ab6c611ee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d8bf9233-05e1-4d22-8073-83fcb8948e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09385-d763-4d76-b9cc-eb605ecdc2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5840707-85de-49be-bc96-4b84c0cd341a}" ma:internalName="TaxCatchAll" ma:showField="CatchAllData" ma:web="34409385-d763-4d76-b9cc-eb605ecdc2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088452-8922-4F63-90CE-DE0540C6F846}">
  <ds:schemaRefs>
    <ds:schemaRef ds:uri="http://schemas.microsoft.com/office/2006/metadata/properties"/>
    <ds:schemaRef ds:uri="http://schemas.microsoft.com/office/infopath/2007/PartnerControls"/>
    <ds:schemaRef ds:uri="34409385-d763-4d76-b9cc-eb605ecdc27c"/>
    <ds:schemaRef ds:uri="e6be2b2b-7b8f-4d35-85d1-8ab6c611ee7c"/>
  </ds:schemaRefs>
</ds:datastoreItem>
</file>

<file path=customXml/itemProps2.xml><?xml version="1.0" encoding="utf-8"?>
<ds:datastoreItem xmlns:ds="http://schemas.openxmlformats.org/officeDocument/2006/customXml" ds:itemID="{4B66BFA3-22EE-4D4C-979B-7A90086675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be2b2b-7b8f-4d35-85d1-8ab6c611ee7c"/>
    <ds:schemaRef ds:uri="34409385-d763-4d76-b9cc-eb605ecdc2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278573-713E-454A-891A-C53B0B94B2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A25023</dc:creator>
  <cp:lastModifiedBy>Joyce Tsai-蔡旻容</cp:lastModifiedBy>
  <dcterms:created xsi:type="dcterms:W3CDTF">2026-03-09T01:47:59Z</dcterms:created>
  <dcterms:modified xsi:type="dcterms:W3CDTF">2026-06-01T05:53:05Z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2026-04-14T03:09:40Z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f97a802d-c091-4bbe-87e1-bfb8b13e6ae6</vt:lpwstr>
  </property>
  <property fmtid="{D5CDD505-2E9C-101B-9397-08002B2CF9AE}" pid="7" name="MSIP_Label_defa4170-0d19-0005-0004-bc88714345d2_ActionId">
    <vt:lpwstr>93e6cac1-9cc6-4acc-8115-922faf081552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0x0101005504B8C9479FB04AB71CC52A9016F161</vt:lpwstr>
  </property>
</Properties>
</file>